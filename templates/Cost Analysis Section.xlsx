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3039\Downloads\"/>
    </mc:Choice>
  </mc:AlternateContent>
  <xr:revisionPtr revIDLastSave="0" documentId="8_{78B77B38-5CF9-4F6B-B2AD-4ACF06A8C987}" xr6:coauthVersionLast="47" xr6:coauthVersionMax="47" xr10:uidLastSave="{00000000-0000-0000-0000-000000000000}"/>
  <bookViews>
    <workbookView xWindow="-24120" yWindow="-120" windowWidth="24240" windowHeight="13020" xr2:uid="{42F9D0C4-BD08-4EAA-A4F2-4A41CA804752}"/>
  </bookViews>
  <sheets>
    <sheet name="DEVELOPMENT COSTS" sheetId="1" r:id="rId1"/>
    <sheet name="Site Dev Cost" sheetId="2" r:id="rId2"/>
    <sheet name="Add. Bldg Improv." sheetId="3" r:id="rId3"/>
    <sheet name="Total Proj. Cost" sheetId="4" r:id="rId4"/>
    <sheet name="Construction Comps" sheetId="5" r:id="rId5"/>
    <sheet name="Construction Summary" sheetId="6" r:id="rId6"/>
  </sheets>
  <externalReferences>
    <externalReference r:id="rId7"/>
  </externalReferences>
  <definedNames>
    <definedName name="_______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_aaa12" hidden="1">{#N/A,#N/A,FALSE,"I&amp;E";#N/A,#N/A,FALSE,"rent roll";#N/A,#N/A,FALSE,"96noleaseup";#N/A,#N/A,FALSE,"96noleaseup matrix";#N/A,#N/A,FALSE,"leaseup 96";#N/A,#N/A,FALSE,"leaseup 96 matrix";#N/A,#N/A,FALSE,"Leaseup and Exp."}</definedName>
    <definedName name="_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_j2" hidden="1">{#N/A,#N/A,FALSE,"I&amp;E";#N/A,#N/A,FALSE,"rent roll";#N/A,#N/A,FALSE,"96noleaseup";#N/A,#N/A,FALSE,"96noleaseup matrix";#N/A,#N/A,FALSE,"leaseup 96";#N/A,#N/A,FALSE,"leaseup 96 matrix";#N/A,#N/A,FALSE,"Leaseup and Exp."}</definedName>
    <definedName name="_______________________________________________a1" hidden="1">{#N/A,#N/A,FALSE,"I&amp;E";#N/A,#N/A,FALSE,"rent roll";#N/A,#N/A,FALSE,"96noleaseup";#N/A,#N/A,FALSE,"96noleaseup matrix";#N/A,#N/A,FALSE,"leaseup 96";#N/A,#N/A,FALSE,"leaseup 96 matrix";#N/A,#N/A,FALSE,"Leaseup and Exp."}</definedName>
    <definedName name="_______________________________________________aaa12" hidden="1">{#N/A,#N/A,FALSE,"I&amp;E";#N/A,#N/A,FALSE,"rent roll";#N/A,#N/A,FALSE,"96noleaseup";#N/A,#N/A,FALSE,"96noleaseup matrix";#N/A,#N/A,FALSE,"leaseup 96";#N/A,#N/A,FALSE,"leaseup 96 matrix";#N/A,#N/A,FALSE,"Leaseup and Exp."}</definedName>
    <definedName name="_______________________________________________J1" hidden="1">{#N/A,#N/A,FALSE,"I&amp;E";#N/A,#N/A,FALSE,"rent roll";#N/A,#N/A,FALSE,"96noleaseup";#N/A,#N/A,FALSE,"96noleaseup matrix";#N/A,#N/A,FALSE,"leaseup 96";#N/A,#N/A,FALSE,"leaseup 96 matrix";#N/A,#N/A,FALSE,"Leaseup and Exp."}</definedName>
    <definedName name="_______________________________________________j2" hidden="1">{#N/A,#N/A,FALSE,"I&amp;E";#N/A,#N/A,FALSE,"rent roll";#N/A,#N/A,FALSE,"96noleaseup";#N/A,#N/A,FALSE,"96noleaseup matrix";#N/A,#N/A,FALSE,"leaseup 96";#N/A,#N/A,FALSE,"leaseup 96 matrix";#N/A,#N/A,FALSE,"Leaseup and Exp."}</definedName>
    <definedName name="______________________________________________a1" hidden="1">{#N/A,#N/A,FALSE,"I&amp;E";#N/A,#N/A,FALSE,"rent roll";#N/A,#N/A,FALSE,"96noleaseup";#N/A,#N/A,FALSE,"96noleaseup matrix";#N/A,#N/A,FALSE,"leaseup 96";#N/A,#N/A,FALSE,"leaseup 96 matrix";#N/A,#N/A,FALSE,"Leaseup and Exp."}</definedName>
    <definedName name="______________________________________________aaa12" hidden="1">{#N/A,#N/A,FALSE,"I&amp;E";#N/A,#N/A,FALSE,"rent roll";#N/A,#N/A,FALSE,"96noleaseup";#N/A,#N/A,FALSE,"96noleaseup matrix";#N/A,#N/A,FALSE,"leaseup 96";#N/A,#N/A,FALSE,"leaseup 96 matrix";#N/A,#N/A,FALSE,"Leaseup and Exp."}</definedName>
    <definedName name="______________________________________________J1" hidden="1">{#N/A,#N/A,FALSE,"I&amp;E";#N/A,#N/A,FALSE,"rent roll";#N/A,#N/A,FALSE,"96noleaseup";#N/A,#N/A,FALSE,"96noleaseup matrix";#N/A,#N/A,FALSE,"leaseup 96";#N/A,#N/A,FALSE,"leaseup 96 matrix";#N/A,#N/A,FALSE,"Leaseup and Exp."}</definedName>
    <definedName name="______________________________________________j2" hidden="1">{#N/A,#N/A,FALSE,"I&amp;E";#N/A,#N/A,FALSE,"rent roll";#N/A,#N/A,FALSE,"96noleaseup";#N/A,#N/A,FALSE,"96noleaseup matrix";#N/A,#N/A,FALSE,"leaseup 96";#N/A,#N/A,FALSE,"leaseup 96 matrix";#N/A,#N/A,FALSE,"Leaseup and Exp."}</definedName>
    <definedName name="_____________________________________________a1" hidden="1">{#N/A,#N/A,FALSE,"I&amp;E";#N/A,#N/A,FALSE,"rent roll";#N/A,#N/A,FALSE,"96noleaseup";#N/A,#N/A,FALSE,"96noleaseup matrix";#N/A,#N/A,FALSE,"leaseup 96";#N/A,#N/A,FALSE,"leaseup 96 matrix";#N/A,#N/A,FALSE,"Leaseup and Exp."}</definedName>
    <definedName name="_____________________________________________aaa12" hidden="1">{#N/A,#N/A,FALSE,"I&amp;E";#N/A,#N/A,FALSE,"rent roll";#N/A,#N/A,FALSE,"96noleaseup";#N/A,#N/A,FALSE,"96noleaseup matrix";#N/A,#N/A,FALSE,"leaseup 96";#N/A,#N/A,FALSE,"leaseup 96 matrix";#N/A,#N/A,FALSE,"Leaseup and Exp."}</definedName>
    <definedName name="_____________________________________________J1" hidden="1">{#N/A,#N/A,FALSE,"I&amp;E";#N/A,#N/A,FALSE,"rent roll";#N/A,#N/A,FALSE,"96noleaseup";#N/A,#N/A,FALSE,"96noleaseup matrix";#N/A,#N/A,FALSE,"leaseup 96";#N/A,#N/A,FALSE,"leaseup 96 matrix";#N/A,#N/A,FALSE,"Leaseup and Exp."}</definedName>
    <definedName name="_____________________________________________j2" hidden="1">{#N/A,#N/A,FALSE,"I&amp;E";#N/A,#N/A,FALSE,"rent roll";#N/A,#N/A,FALSE,"96noleaseup";#N/A,#N/A,FALSE,"96noleaseup matrix";#N/A,#N/A,FALSE,"leaseup 96";#N/A,#N/A,FALSE,"leaseup 96 matrix";#N/A,#N/A,FALSE,"Leaseup and Exp."}</definedName>
    <definedName name="____________________________________________a1" hidden="1">{#N/A,#N/A,FALSE,"I&amp;E";#N/A,#N/A,FALSE,"rent roll";#N/A,#N/A,FALSE,"96noleaseup";#N/A,#N/A,FALSE,"96noleaseup matrix";#N/A,#N/A,FALSE,"leaseup 96";#N/A,#N/A,FALSE,"leaseup 96 matrix";#N/A,#N/A,FALSE,"Leaseup and Exp."}</definedName>
    <definedName name="____________________________________________aaa12" hidden="1">{#N/A,#N/A,FALSE,"I&amp;E";#N/A,#N/A,FALSE,"rent roll";#N/A,#N/A,FALSE,"96noleaseup";#N/A,#N/A,FALSE,"96noleaseup matrix";#N/A,#N/A,FALSE,"leaseup 96";#N/A,#N/A,FALSE,"leaseup 96 matrix";#N/A,#N/A,FALSE,"Leaseup and Exp."}</definedName>
    <definedName name="____________________________________________J1" hidden="1">{#N/A,#N/A,FALSE,"I&amp;E";#N/A,#N/A,FALSE,"rent roll";#N/A,#N/A,FALSE,"96noleaseup";#N/A,#N/A,FALSE,"96noleaseup matrix";#N/A,#N/A,FALSE,"leaseup 96";#N/A,#N/A,FALSE,"leaseup 96 matrix";#N/A,#N/A,FALSE,"Leaseup and Exp."}</definedName>
    <definedName name="____________________________________________j2" hidden="1">{#N/A,#N/A,FALSE,"I&amp;E";#N/A,#N/A,FALSE,"rent roll";#N/A,#N/A,FALSE,"96noleaseup";#N/A,#N/A,FALSE,"96noleaseup matrix";#N/A,#N/A,FALSE,"leaseup 96";#N/A,#N/A,FALSE,"leaseup 96 matrix";#N/A,#N/A,FALSE,"Leaseup and Exp."}</definedName>
    <definedName name="___________________________________________a1" hidden="1">{#N/A,#N/A,FALSE,"I&amp;E";#N/A,#N/A,FALSE,"rent roll";#N/A,#N/A,FALSE,"96noleaseup";#N/A,#N/A,FALSE,"96noleaseup matrix";#N/A,#N/A,FALSE,"leaseup 96";#N/A,#N/A,FALSE,"leaseup 96 matrix";#N/A,#N/A,FALSE,"Leaseup and Exp."}</definedName>
    <definedName name="___________________________________________aaa12" hidden="1">{#N/A,#N/A,FALSE,"I&amp;E";#N/A,#N/A,FALSE,"rent roll";#N/A,#N/A,FALSE,"96noleaseup";#N/A,#N/A,FALSE,"96noleaseup matrix";#N/A,#N/A,FALSE,"leaseup 96";#N/A,#N/A,FALSE,"leaseup 96 matrix";#N/A,#N/A,FALSE,"Leaseup and Exp."}</definedName>
    <definedName name="___________________________________________J1" hidden="1">{#N/A,#N/A,FALSE,"I&amp;E";#N/A,#N/A,FALSE,"rent roll";#N/A,#N/A,FALSE,"96noleaseup";#N/A,#N/A,FALSE,"96noleaseup matrix";#N/A,#N/A,FALSE,"leaseup 96";#N/A,#N/A,FALSE,"leaseup 96 matrix";#N/A,#N/A,FALSE,"Leaseup and Exp."}</definedName>
    <definedName name="___________________________________________j2" hidden="1">{#N/A,#N/A,FALSE,"I&amp;E";#N/A,#N/A,FALSE,"rent roll";#N/A,#N/A,FALSE,"96noleaseup";#N/A,#N/A,FALSE,"96noleaseup matrix";#N/A,#N/A,FALSE,"leaseup 96";#N/A,#N/A,FALSE,"leaseup 96 matrix";#N/A,#N/A,FALSE,"Leaseup and Exp."}</definedName>
    <definedName name="__________________________________________a1" hidden="1">{#N/A,#N/A,FALSE,"I&amp;E";#N/A,#N/A,FALSE,"rent roll";#N/A,#N/A,FALSE,"96noleaseup";#N/A,#N/A,FALSE,"96noleaseup matrix";#N/A,#N/A,FALSE,"leaseup 96";#N/A,#N/A,FALSE,"leaseup 96 matrix";#N/A,#N/A,FALSE,"Leaseup and Exp."}</definedName>
    <definedName name="__________________________________________aaa12" hidden="1">{#N/A,#N/A,FALSE,"I&amp;E";#N/A,#N/A,FALSE,"rent roll";#N/A,#N/A,FALSE,"96noleaseup";#N/A,#N/A,FALSE,"96noleaseup matrix";#N/A,#N/A,FALSE,"leaseup 96";#N/A,#N/A,FALSE,"leaseup 96 matrix";#N/A,#N/A,FALSE,"Leaseup and Exp."}</definedName>
    <definedName name="__________________________________________J1" hidden="1">{#N/A,#N/A,FALSE,"I&amp;E";#N/A,#N/A,FALSE,"rent roll";#N/A,#N/A,FALSE,"96noleaseup";#N/A,#N/A,FALSE,"96noleaseup matrix";#N/A,#N/A,FALSE,"leaseup 96";#N/A,#N/A,FALSE,"leaseup 96 matrix";#N/A,#N/A,FALSE,"Leaseup and Exp."}</definedName>
    <definedName name="__________________________________________j2" hidden="1">{#N/A,#N/A,FALSE,"I&amp;E";#N/A,#N/A,FALSE,"rent roll";#N/A,#N/A,FALSE,"96noleaseup";#N/A,#N/A,FALSE,"96noleaseup matrix";#N/A,#N/A,FALSE,"leaseup 96";#N/A,#N/A,FALSE,"leaseup 96 matrix";#N/A,#N/A,FALSE,"Leaseup and Exp."}</definedName>
    <definedName name="_________________________________________a1" hidden="1">{#N/A,#N/A,FALSE,"I&amp;E";#N/A,#N/A,FALSE,"rent roll";#N/A,#N/A,FALSE,"96noleaseup";#N/A,#N/A,FALSE,"96noleaseup matrix";#N/A,#N/A,FALSE,"leaseup 96";#N/A,#N/A,FALSE,"leaseup 96 matrix";#N/A,#N/A,FALSE,"Leaseup and Exp."}</definedName>
    <definedName name="_________________________________________aaa12" hidden="1">{#N/A,#N/A,FALSE,"I&amp;E";#N/A,#N/A,FALSE,"rent roll";#N/A,#N/A,FALSE,"96noleaseup";#N/A,#N/A,FALSE,"96noleaseup matrix";#N/A,#N/A,FALSE,"leaseup 96";#N/A,#N/A,FALSE,"leaseup 96 matrix";#N/A,#N/A,FALSE,"Leaseup and Exp."}</definedName>
    <definedName name="_________________________________________J1" hidden="1">{#N/A,#N/A,FALSE,"I&amp;E";#N/A,#N/A,FALSE,"rent roll";#N/A,#N/A,FALSE,"96noleaseup";#N/A,#N/A,FALSE,"96noleaseup matrix";#N/A,#N/A,FALSE,"leaseup 96";#N/A,#N/A,FALSE,"leaseup 96 matrix";#N/A,#N/A,FALSE,"Leaseup and Exp."}</definedName>
    <definedName name="_________________________________________j2" hidden="1">{#N/A,#N/A,FALSE,"I&amp;E";#N/A,#N/A,FALSE,"rent roll";#N/A,#N/A,FALSE,"96noleaseup";#N/A,#N/A,FALSE,"96noleaseup matrix";#N/A,#N/A,FALSE,"leaseup 96";#N/A,#N/A,FALSE,"leaseup 96 matrix";#N/A,#N/A,FALSE,"Leaseup and Exp."}</definedName>
    <definedName name="________________________________________a1" hidden="1">{#N/A,#N/A,FALSE,"I&amp;E";#N/A,#N/A,FALSE,"rent roll";#N/A,#N/A,FALSE,"96noleaseup";#N/A,#N/A,FALSE,"96noleaseup matrix";#N/A,#N/A,FALSE,"leaseup 96";#N/A,#N/A,FALSE,"leaseup 96 matrix";#N/A,#N/A,FALSE,"Leaseup and Exp."}</definedName>
    <definedName name="________________________________________aaa12" hidden="1">{#N/A,#N/A,FALSE,"I&amp;E";#N/A,#N/A,FALSE,"rent roll";#N/A,#N/A,FALSE,"96noleaseup";#N/A,#N/A,FALSE,"96noleaseup matrix";#N/A,#N/A,FALSE,"leaseup 96";#N/A,#N/A,FALSE,"leaseup 96 matrix";#N/A,#N/A,FALSE,"Leaseup and Exp."}</definedName>
    <definedName name="________________________________________J1" hidden="1">{#N/A,#N/A,FALSE,"I&amp;E";#N/A,#N/A,FALSE,"rent roll";#N/A,#N/A,FALSE,"96noleaseup";#N/A,#N/A,FALSE,"96noleaseup matrix";#N/A,#N/A,FALSE,"leaseup 96";#N/A,#N/A,FALSE,"leaseup 96 matrix";#N/A,#N/A,FALSE,"Leaseup and Exp."}</definedName>
    <definedName name="________________________________________j2" hidden="1">{#N/A,#N/A,FALSE,"I&amp;E";#N/A,#N/A,FALSE,"rent roll";#N/A,#N/A,FALSE,"96noleaseup";#N/A,#N/A,FALSE,"96noleaseup matrix";#N/A,#N/A,FALSE,"leaseup 96";#N/A,#N/A,FALSE,"leaseup 96 matrix";#N/A,#N/A,FALSE,"Leaseup and Exp."}</definedName>
    <definedName name="_______________________________________a1" hidden="1">{#N/A,#N/A,FALSE,"I&amp;E";#N/A,#N/A,FALSE,"rent roll";#N/A,#N/A,FALSE,"96noleaseup";#N/A,#N/A,FALSE,"96noleaseup matrix";#N/A,#N/A,FALSE,"leaseup 96";#N/A,#N/A,FALSE,"leaseup 96 matrix";#N/A,#N/A,FALSE,"Leaseup and Exp."}</definedName>
    <definedName name="_______________________________________aaa12" hidden="1">{#N/A,#N/A,FALSE,"I&amp;E";#N/A,#N/A,FALSE,"rent roll";#N/A,#N/A,FALSE,"96noleaseup";#N/A,#N/A,FALSE,"96noleaseup matrix";#N/A,#N/A,FALSE,"leaseup 96";#N/A,#N/A,FALSE,"leaseup 96 matrix";#N/A,#N/A,FALSE,"Leaseup and Exp."}</definedName>
    <definedName name="_______________________________________J1" hidden="1">{#N/A,#N/A,FALSE,"I&amp;E";#N/A,#N/A,FALSE,"rent roll";#N/A,#N/A,FALSE,"96noleaseup";#N/A,#N/A,FALSE,"96noleaseup matrix";#N/A,#N/A,FALSE,"leaseup 96";#N/A,#N/A,FALSE,"leaseup 96 matrix";#N/A,#N/A,FALSE,"Leaseup and Exp."}</definedName>
    <definedName name="_______________________________________j2" hidden="1">{#N/A,#N/A,FALSE,"I&amp;E";#N/A,#N/A,FALSE,"rent roll";#N/A,#N/A,FALSE,"96noleaseup";#N/A,#N/A,FALSE,"96noleaseup matrix";#N/A,#N/A,FALSE,"leaseup 96";#N/A,#N/A,FALSE,"leaseup 96 matrix";#N/A,#N/A,FALSE,"Leaseup and Exp."}</definedName>
    <definedName name="______________________________________a1" hidden="1">{#N/A,#N/A,FALSE,"I&amp;E";#N/A,#N/A,FALSE,"rent roll";#N/A,#N/A,FALSE,"96noleaseup";#N/A,#N/A,FALSE,"96noleaseup matrix";#N/A,#N/A,FALSE,"leaseup 96";#N/A,#N/A,FALSE,"leaseup 96 matrix";#N/A,#N/A,FALSE,"Leaseup and Exp."}</definedName>
    <definedName name="______________________________________aaa12" hidden="1">{#N/A,#N/A,FALSE,"I&amp;E";#N/A,#N/A,FALSE,"rent roll";#N/A,#N/A,FALSE,"96noleaseup";#N/A,#N/A,FALSE,"96noleaseup matrix";#N/A,#N/A,FALSE,"leaseup 96";#N/A,#N/A,FALSE,"leaseup 96 matrix";#N/A,#N/A,FALSE,"Leaseup and Exp."}</definedName>
    <definedName name="______________________________________J1" hidden="1">{#N/A,#N/A,FALSE,"I&amp;E";#N/A,#N/A,FALSE,"rent roll";#N/A,#N/A,FALSE,"96noleaseup";#N/A,#N/A,FALSE,"96noleaseup matrix";#N/A,#N/A,FALSE,"leaseup 96";#N/A,#N/A,FALSE,"leaseup 96 matrix";#N/A,#N/A,FALSE,"Leaseup and Exp."}</definedName>
    <definedName name="______________________________________j2" hidden="1">{#N/A,#N/A,FALSE,"I&amp;E";#N/A,#N/A,FALSE,"rent roll";#N/A,#N/A,FALSE,"96noleaseup";#N/A,#N/A,FALSE,"96noleaseup matrix";#N/A,#N/A,FALSE,"leaseup 96";#N/A,#N/A,FALSE,"leaseup 96 matrix";#N/A,#N/A,FALSE,"Leaseup and Exp."}</definedName>
    <definedName name="_____________________________________a1" hidden="1">{#N/A,#N/A,FALSE,"I&amp;E";#N/A,#N/A,FALSE,"rent roll";#N/A,#N/A,FALSE,"96noleaseup";#N/A,#N/A,FALSE,"96noleaseup matrix";#N/A,#N/A,FALSE,"leaseup 96";#N/A,#N/A,FALSE,"leaseup 96 matrix";#N/A,#N/A,FALSE,"Leaseup and Exp."}</definedName>
    <definedName name="_____________________________________aaa12" hidden="1">{#N/A,#N/A,FALSE,"I&amp;E";#N/A,#N/A,FALSE,"rent roll";#N/A,#N/A,FALSE,"96noleaseup";#N/A,#N/A,FALSE,"96noleaseup matrix";#N/A,#N/A,FALSE,"leaseup 96";#N/A,#N/A,FALSE,"leaseup 96 matrix";#N/A,#N/A,FALSE,"Leaseup and Exp."}</definedName>
    <definedName name="_____________________________________J1" hidden="1">{#N/A,#N/A,FALSE,"I&amp;E";#N/A,#N/A,FALSE,"rent roll";#N/A,#N/A,FALSE,"96noleaseup";#N/A,#N/A,FALSE,"96noleaseup matrix";#N/A,#N/A,FALSE,"leaseup 96";#N/A,#N/A,FALSE,"leaseup 96 matrix";#N/A,#N/A,FALSE,"Leaseup and Exp."}</definedName>
    <definedName name="_____________________________________j2" hidden="1">{#N/A,#N/A,FALSE,"I&amp;E";#N/A,#N/A,FALSE,"rent roll";#N/A,#N/A,FALSE,"96noleaseup";#N/A,#N/A,FALSE,"96noleaseup matrix";#N/A,#N/A,FALSE,"leaseup 96";#N/A,#N/A,FALSE,"leaseup 96 matrix";#N/A,#N/A,FALSE,"Leaseup and Exp."}</definedName>
    <definedName name="____________________________________a1" hidden="1">{#N/A,#N/A,FALSE,"I&amp;E";#N/A,#N/A,FALSE,"rent roll";#N/A,#N/A,FALSE,"96noleaseup";#N/A,#N/A,FALSE,"96noleaseup matrix";#N/A,#N/A,FALSE,"leaseup 96";#N/A,#N/A,FALSE,"leaseup 96 matrix";#N/A,#N/A,FALSE,"Leaseup and Exp."}</definedName>
    <definedName name="____________________________________aaa12" hidden="1">{#N/A,#N/A,FALSE,"I&amp;E";#N/A,#N/A,FALSE,"rent roll";#N/A,#N/A,FALSE,"96noleaseup";#N/A,#N/A,FALSE,"96noleaseup matrix";#N/A,#N/A,FALSE,"leaseup 96";#N/A,#N/A,FALSE,"leaseup 96 matrix";#N/A,#N/A,FALSE,"Leaseup and Exp."}</definedName>
    <definedName name="____________________________________J1" hidden="1">{#N/A,#N/A,FALSE,"I&amp;E";#N/A,#N/A,FALSE,"rent roll";#N/A,#N/A,FALSE,"96noleaseup";#N/A,#N/A,FALSE,"96noleaseup matrix";#N/A,#N/A,FALSE,"leaseup 96";#N/A,#N/A,FALSE,"leaseup 96 matrix";#N/A,#N/A,FALSE,"Leaseup and Exp."}</definedName>
    <definedName name="____________________________________j2" hidden="1">{#N/A,#N/A,FALSE,"I&amp;E";#N/A,#N/A,FALSE,"rent roll";#N/A,#N/A,FALSE,"96noleaseup";#N/A,#N/A,FALSE,"96noleaseup matrix";#N/A,#N/A,FALSE,"leaseup 96";#N/A,#N/A,FALSE,"leaseup 96 matrix";#N/A,#N/A,FALSE,"Leaseup and Exp."}</definedName>
    <definedName name="___________________________________a1" hidden="1">{#N/A,#N/A,FALSE,"I&amp;E";#N/A,#N/A,FALSE,"rent roll";#N/A,#N/A,FALSE,"96noleaseup";#N/A,#N/A,FALSE,"96noleaseup matrix";#N/A,#N/A,FALSE,"leaseup 96";#N/A,#N/A,FALSE,"leaseup 96 matrix";#N/A,#N/A,FALSE,"Leaseup and Exp."}</definedName>
    <definedName name="___________________________________aaa12" hidden="1">{#N/A,#N/A,FALSE,"I&amp;E";#N/A,#N/A,FALSE,"rent roll";#N/A,#N/A,FALSE,"96noleaseup";#N/A,#N/A,FALSE,"96noleaseup matrix";#N/A,#N/A,FALSE,"leaseup 96";#N/A,#N/A,FALSE,"leaseup 96 matrix";#N/A,#N/A,FALSE,"Leaseup and Exp."}</definedName>
    <definedName name="___________________________________J1" hidden="1">{#N/A,#N/A,FALSE,"I&amp;E";#N/A,#N/A,FALSE,"rent roll";#N/A,#N/A,FALSE,"96noleaseup";#N/A,#N/A,FALSE,"96noleaseup matrix";#N/A,#N/A,FALSE,"leaseup 96";#N/A,#N/A,FALSE,"leaseup 96 matrix";#N/A,#N/A,FALSE,"Leaseup and Exp."}</definedName>
    <definedName name="___________________________________j2" hidden="1">{#N/A,#N/A,FALSE,"I&amp;E";#N/A,#N/A,FALSE,"rent roll";#N/A,#N/A,FALSE,"96noleaseup";#N/A,#N/A,FALSE,"96noleaseup matrix";#N/A,#N/A,FALSE,"leaseup 96";#N/A,#N/A,FALSE,"leaseup 96 matrix";#N/A,#N/A,FALSE,"Leaseup and Exp."}</definedName>
    <definedName name="__________________________________a1" hidden="1">{#N/A,#N/A,FALSE,"I&amp;E";#N/A,#N/A,FALSE,"rent roll";#N/A,#N/A,FALSE,"96noleaseup";#N/A,#N/A,FALSE,"96noleaseup matrix";#N/A,#N/A,FALSE,"leaseup 96";#N/A,#N/A,FALSE,"leaseup 96 matrix";#N/A,#N/A,FALSE,"Leaseup and Exp."}</definedName>
    <definedName name="__________________________________aaa12" hidden="1">{#N/A,#N/A,FALSE,"I&amp;E";#N/A,#N/A,FALSE,"rent roll";#N/A,#N/A,FALSE,"96noleaseup";#N/A,#N/A,FALSE,"96noleaseup matrix";#N/A,#N/A,FALSE,"leaseup 96";#N/A,#N/A,FALSE,"leaseup 96 matrix";#N/A,#N/A,FALSE,"Leaseup and Exp."}</definedName>
    <definedName name="__________________________________J1" hidden="1">{#N/A,#N/A,FALSE,"I&amp;E";#N/A,#N/A,FALSE,"rent roll";#N/A,#N/A,FALSE,"96noleaseup";#N/A,#N/A,FALSE,"96noleaseup matrix";#N/A,#N/A,FALSE,"leaseup 96";#N/A,#N/A,FALSE,"leaseup 96 matrix";#N/A,#N/A,FALSE,"Leaseup and Exp."}</definedName>
    <definedName name="__________________________________j2" hidden="1">{#N/A,#N/A,FALSE,"I&amp;E";#N/A,#N/A,FALSE,"rent roll";#N/A,#N/A,FALSE,"96noleaseup";#N/A,#N/A,FALSE,"96noleaseup matrix";#N/A,#N/A,FALSE,"leaseup 96";#N/A,#N/A,FALSE,"leaseup 96 matrix";#N/A,#N/A,FALSE,"Leaseup and Exp."}</definedName>
    <definedName name="_________________________________a1" hidden="1">{#N/A,#N/A,FALSE,"I&amp;E";#N/A,#N/A,FALSE,"rent roll";#N/A,#N/A,FALSE,"96noleaseup";#N/A,#N/A,FALSE,"96noleaseup matrix";#N/A,#N/A,FALSE,"leaseup 96";#N/A,#N/A,FALSE,"leaseup 96 matrix";#N/A,#N/A,FALSE,"Leaseup and Exp."}</definedName>
    <definedName name="_________________________________aaa12" hidden="1">{#N/A,#N/A,FALSE,"I&amp;E";#N/A,#N/A,FALSE,"rent roll";#N/A,#N/A,FALSE,"96noleaseup";#N/A,#N/A,FALSE,"96noleaseup matrix";#N/A,#N/A,FALSE,"leaseup 96";#N/A,#N/A,FALSE,"leaseup 96 matrix";#N/A,#N/A,FALSE,"Leaseup and Exp."}</definedName>
    <definedName name="_________________________________J1" hidden="1">{#N/A,#N/A,FALSE,"I&amp;E";#N/A,#N/A,FALSE,"rent roll";#N/A,#N/A,FALSE,"96noleaseup";#N/A,#N/A,FALSE,"96noleaseup matrix";#N/A,#N/A,FALSE,"leaseup 96";#N/A,#N/A,FALSE,"leaseup 96 matrix";#N/A,#N/A,FALSE,"Leaseup and Exp."}</definedName>
    <definedName name="_________________________________j2" hidden="1">{#N/A,#N/A,FALSE,"I&amp;E";#N/A,#N/A,FALSE,"rent roll";#N/A,#N/A,FALSE,"96noleaseup";#N/A,#N/A,FALSE,"96noleaseup matrix";#N/A,#N/A,FALSE,"leaseup 96";#N/A,#N/A,FALSE,"leaseup 96 matrix";#N/A,#N/A,FALSE,"Leaseup and Exp."}</definedName>
    <definedName name="________________________________a1" hidden="1">{#N/A,#N/A,FALSE,"I&amp;E";#N/A,#N/A,FALSE,"rent roll";#N/A,#N/A,FALSE,"96noleaseup";#N/A,#N/A,FALSE,"96noleaseup matrix";#N/A,#N/A,FALSE,"leaseup 96";#N/A,#N/A,FALSE,"leaseup 96 matrix";#N/A,#N/A,FALSE,"Leaseup and Exp."}</definedName>
    <definedName name="________________________________aaa12" hidden="1">{#N/A,#N/A,FALSE,"I&amp;E";#N/A,#N/A,FALSE,"rent roll";#N/A,#N/A,FALSE,"96noleaseup";#N/A,#N/A,FALSE,"96noleaseup matrix";#N/A,#N/A,FALSE,"leaseup 96";#N/A,#N/A,FALSE,"leaseup 96 matrix";#N/A,#N/A,FALSE,"Leaseup and Exp."}</definedName>
    <definedName name="________________________________J1" hidden="1">{#N/A,#N/A,FALSE,"I&amp;E";#N/A,#N/A,FALSE,"rent roll";#N/A,#N/A,FALSE,"96noleaseup";#N/A,#N/A,FALSE,"96noleaseup matrix";#N/A,#N/A,FALSE,"leaseup 96";#N/A,#N/A,FALSE,"leaseup 96 matrix";#N/A,#N/A,FALSE,"Leaseup and Exp."}</definedName>
    <definedName name="________________________________j2" hidden="1">{#N/A,#N/A,FALSE,"I&amp;E";#N/A,#N/A,FALSE,"rent roll";#N/A,#N/A,FALSE,"96noleaseup";#N/A,#N/A,FALSE,"96noleaseup matrix";#N/A,#N/A,FALSE,"leaseup 96";#N/A,#N/A,FALSE,"leaseup 96 matrix";#N/A,#N/A,FALSE,"Leaseup and Exp."}</definedName>
    <definedName name="_______________________________a1" hidden="1">{#N/A,#N/A,FALSE,"I&amp;E";#N/A,#N/A,FALSE,"rent roll";#N/A,#N/A,FALSE,"96noleaseup";#N/A,#N/A,FALSE,"96noleaseup matrix";#N/A,#N/A,FALSE,"leaseup 96";#N/A,#N/A,FALSE,"leaseup 96 matrix";#N/A,#N/A,FALSE,"Leaseup and Exp."}</definedName>
    <definedName name="_______________________________aaa12" hidden="1">{#N/A,#N/A,FALSE,"I&amp;E";#N/A,#N/A,FALSE,"rent roll";#N/A,#N/A,FALSE,"96noleaseup";#N/A,#N/A,FALSE,"96noleaseup matrix";#N/A,#N/A,FALSE,"leaseup 96";#N/A,#N/A,FALSE,"leaseup 96 matrix";#N/A,#N/A,FALSE,"Leaseup and Exp."}</definedName>
    <definedName name="_______________________________J1" hidden="1">{#N/A,#N/A,FALSE,"I&amp;E";#N/A,#N/A,FALSE,"rent roll";#N/A,#N/A,FALSE,"96noleaseup";#N/A,#N/A,FALSE,"96noleaseup matrix";#N/A,#N/A,FALSE,"leaseup 96";#N/A,#N/A,FALSE,"leaseup 96 matrix";#N/A,#N/A,FALSE,"Leaseup and Exp."}</definedName>
    <definedName name="_______________________________j2" hidden="1">{#N/A,#N/A,FALSE,"I&amp;E";#N/A,#N/A,FALSE,"rent roll";#N/A,#N/A,FALSE,"96noleaseup";#N/A,#N/A,FALSE,"96noleaseup matrix";#N/A,#N/A,FALSE,"leaseup 96";#N/A,#N/A,FALSE,"leaseup 96 matrix";#N/A,#N/A,FALSE,"Leaseup and Exp."}</definedName>
    <definedName name="______________________________a1" hidden="1">{#N/A,#N/A,FALSE,"I&amp;E";#N/A,#N/A,FALSE,"rent roll";#N/A,#N/A,FALSE,"96noleaseup";#N/A,#N/A,FALSE,"96noleaseup matrix";#N/A,#N/A,FALSE,"leaseup 96";#N/A,#N/A,FALSE,"leaseup 96 matrix";#N/A,#N/A,FALSE,"Leaseup and Exp."}</definedName>
    <definedName name="______________________________aaa12" hidden="1">{#N/A,#N/A,FALSE,"I&amp;E";#N/A,#N/A,FALSE,"rent roll";#N/A,#N/A,FALSE,"96noleaseup";#N/A,#N/A,FALSE,"96noleaseup matrix";#N/A,#N/A,FALSE,"leaseup 96";#N/A,#N/A,FALSE,"leaseup 96 matrix";#N/A,#N/A,FALSE,"Leaseup and Exp."}</definedName>
    <definedName name="______________________________J1" hidden="1">{#N/A,#N/A,FALSE,"I&amp;E";#N/A,#N/A,FALSE,"rent roll";#N/A,#N/A,FALSE,"96noleaseup";#N/A,#N/A,FALSE,"96noleaseup matrix";#N/A,#N/A,FALSE,"leaseup 96";#N/A,#N/A,FALSE,"leaseup 96 matrix";#N/A,#N/A,FALSE,"Leaseup and Exp."}</definedName>
    <definedName name="______________________________j2" hidden="1">{#N/A,#N/A,FALSE,"I&amp;E";#N/A,#N/A,FALSE,"rent roll";#N/A,#N/A,FALSE,"96noleaseup";#N/A,#N/A,FALSE,"96noleaseup matrix";#N/A,#N/A,FALSE,"leaseup 96";#N/A,#N/A,FALSE,"leaseup 96 matrix";#N/A,#N/A,FALSE,"Leaseup and Exp."}</definedName>
    <definedName name="_____________________________a1" hidden="1">{#N/A,#N/A,FALSE,"I&amp;E";#N/A,#N/A,FALSE,"rent roll";#N/A,#N/A,FALSE,"96noleaseup";#N/A,#N/A,FALSE,"96noleaseup matrix";#N/A,#N/A,FALSE,"leaseup 96";#N/A,#N/A,FALSE,"leaseup 96 matrix";#N/A,#N/A,FALSE,"Leaseup and Exp."}</definedName>
    <definedName name="_____________________________aaa12" hidden="1">{#N/A,#N/A,FALSE,"I&amp;E";#N/A,#N/A,FALSE,"rent roll";#N/A,#N/A,FALSE,"96noleaseup";#N/A,#N/A,FALSE,"96noleaseup matrix";#N/A,#N/A,FALSE,"leaseup 96";#N/A,#N/A,FALSE,"leaseup 96 matrix";#N/A,#N/A,FALSE,"Leaseup and Exp."}</definedName>
    <definedName name="_____________________________J1" hidden="1">{#N/A,#N/A,FALSE,"I&amp;E";#N/A,#N/A,FALSE,"rent roll";#N/A,#N/A,FALSE,"96noleaseup";#N/A,#N/A,FALSE,"96noleaseup matrix";#N/A,#N/A,FALSE,"leaseup 96";#N/A,#N/A,FALSE,"leaseup 96 matrix";#N/A,#N/A,FALSE,"Leaseup and Exp."}</definedName>
    <definedName name="_____________________________j2" hidden="1">{#N/A,#N/A,FALSE,"I&amp;E";#N/A,#N/A,FALSE,"rent roll";#N/A,#N/A,FALSE,"96noleaseup";#N/A,#N/A,FALSE,"96noleaseup matrix";#N/A,#N/A,FALSE,"leaseup 96";#N/A,#N/A,FALSE,"leaseup 96 matrix";#N/A,#N/A,FALSE,"Leaseup and Exp."}</definedName>
    <definedName name="____________________________a1" hidden="1">{#N/A,#N/A,FALSE,"I&amp;E";#N/A,#N/A,FALSE,"rent roll";#N/A,#N/A,FALSE,"96noleaseup";#N/A,#N/A,FALSE,"96noleaseup matrix";#N/A,#N/A,FALSE,"leaseup 96";#N/A,#N/A,FALSE,"leaseup 96 matrix";#N/A,#N/A,FALSE,"Leaseup and Exp."}</definedName>
    <definedName name="____________________________aaa12" hidden="1">{#N/A,#N/A,FALSE,"I&amp;E";#N/A,#N/A,FALSE,"rent roll";#N/A,#N/A,FALSE,"96noleaseup";#N/A,#N/A,FALSE,"96noleaseup matrix";#N/A,#N/A,FALSE,"leaseup 96";#N/A,#N/A,FALSE,"leaseup 96 matrix";#N/A,#N/A,FALSE,"Leaseup and Exp."}</definedName>
    <definedName name="____________________________J1" hidden="1">{#N/A,#N/A,FALSE,"I&amp;E";#N/A,#N/A,FALSE,"rent roll";#N/A,#N/A,FALSE,"96noleaseup";#N/A,#N/A,FALSE,"96noleaseup matrix";#N/A,#N/A,FALSE,"leaseup 96";#N/A,#N/A,FALSE,"leaseup 96 matrix";#N/A,#N/A,FALSE,"Leaseup and Exp."}</definedName>
    <definedName name="____________________________j2" hidden="1">{#N/A,#N/A,FALSE,"I&amp;E";#N/A,#N/A,FALSE,"rent roll";#N/A,#N/A,FALSE,"96noleaseup";#N/A,#N/A,FALSE,"96noleaseup matrix";#N/A,#N/A,FALSE,"leaseup 96";#N/A,#N/A,FALSE,"leaseup 96 matrix";#N/A,#N/A,FALSE,"Leaseup and Exp."}</definedName>
    <definedName name="___________________________a1" hidden="1">{#N/A,#N/A,FALSE,"I&amp;E";#N/A,#N/A,FALSE,"rent roll";#N/A,#N/A,FALSE,"96noleaseup";#N/A,#N/A,FALSE,"96noleaseup matrix";#N/A,#N/A,FALSE,"leaseup 96";#N/A,#N/A,FALSE,"leaseup 96 matrix";#N/A,#N/A,FALSE,"Leaseup and Exp."}</definedName>
    <definedName name="___________________________aaa12" hidden="1">{#N/A,#N/A,FALSE,"I&amp;E";#N/A,#N/A,FALSE,"rent roll";#N/A,#N/A,FALSE,"96noleaseup";#N/A,#N/A,FALSE,"96noleaseup matrix";#N/A,#N/A,FALSE,"leaseup 96";#N/A,#N/A,FALSE,"leaseup 96 matrix";#N/A,#N/A,FALSE,"Leaseup and Exp."}</definedName>
    <definedName name="___________________________J1" hidden="1">{#N/A,#N/A,FALSE,"I&amp;E";#N/A,#N/A,FALSE,"rent roll";#N/A,#N/A,FALSE,"96noleaseup";#N/A,#N/A,FALSE,"96noleaseup matrix";#N/A,#N/A,FALSE,"leaseup 96";#N/A,#N/A,FALSE,"leaseup 96 matrix";#N/A,#N/A,FALSE,"Leaseup and Exp."}</definedName>
    <definedName name="___________________________j2" hidden="1">{#N/A,#N/A,FALSE,"I&amp;E";#N/A,#N/A,FALSE,"rent roll";#N/A,#N/A,FALSE,"96noleaseup";#N/A,#N/A,FALSE,"96noleaseup matrix";#N/A,#N/A,FALSE,"leaseup 96";#N/A,#N/A,FALSE,"leaseup 96 matrix";#N/A,#N/A,FALSE,"Leaseup and Exp."}</definedName>
    <definedName name="__________________________a1" hidden="1">{#N/A,#N/A,FALSE,"I&amp;E";#N/A,#N/A,FALSE,"rent roll";#N/A,#N/A,FALSE,"96noleaseup";#N/A,#N/A,FALSE,"96noleaseup matrix";#N/A,#N/A,FALSE,"leaseup 96";#N/A,#N/A,FALSE,"leaseup 96 matrix";#N/A,#N/A,FALSE,"Leaseup and Exp."}</definedName>
    <definedName name="__________________________aaa12" hidden="1">{#N/A,#N/A,FALSE,"I&amp;E";#N/A,#N/A,FALSE,"rent roll";#N/A,#N/A,FALSE,"96noleaseup";#N/A,#N/A,FALSE,"96noleaseup matrix";#N/A,#N/A,FALSE,"leaseup 96";#N/A,#N/A,FALSE,"leaseup 96 matrix";#N/A,#N/A,FALSE,"Leaseup and Exp."}</definedName>
    <definedName name="__________________________J1" hidden="1">{#N/A,#N/A,FALSE,"I&amp;E";#N/A,#N/A,FALSE,"rent roll";#N/A,#N/A,FALSE,"96noleaseup";#N/A,#N/A,FALSE,"96noleaseup matrix";#N/A,#N/A,FALSE,"leaseup 96";#N/A,#N/A,FALSE,"leaseup 96 matrix";#N/A,#N/A,FALSE,"Leaseup and Exp."}</definedName>
    <definedName name="__________________________j2" hidden="1">{#N/A,#N/A,FALSE,"I&amp;E";#N/A,#N/A,FALSE,"rent roll";#N/A,#N/A,FALSE,"96noleaseup";#N/A,#N/A,FALSE,"96noleaseup matrix";#N/A,#N/A,FALSE,"leaseup 96";#N/A,#N/A,FALSE,"leaseup 96 matrix";#N/A,#N/A,FALSE,"Leaseup and Exp."}</definedName>
    <definedName name="_________________________a1" hidden="1">{#N/A,#N/A,FALSE,"I&amp;E";#N/A,#N/A,FALSE,"rent roll";#N/A,#N/A,FALSE,"96noleaseup";#N/A,#N/A,FALSE,"96noleaseup matrix";#N/A,#N/A,FALSE,"leaseup 96";#N/A,#N/A,FALSE,"leaseup 96 matrix";#N/A,#N/A,FALSE,"Leaseup and Exp."}</definedName>
    <definedName name="_________________________aaa12" hidden="1">{#N/A,#N/A,FALSE,"I&amp;E";#N/A,#N/A,FALSE,"rent roll";#N/A,#N/A,FALSE,"96noleaseup";#N/A,#N/A,FALSE,"96noleaseup matrix";#N/A,#N/A,FALSE,"leaseup 96";#N/A,#N/A,FALSE,"leaseup 96 matrix";#N/A,#N/A,FALSE,"Leaseup and Exp."}</definedName>
    <definedName name="_________________________J1" hidden="1">{#N/A,#N/A,FALSE,"I&amp;E";#N/A,#N/A,FALSE,"rent roll";#N/A,#N/A,FALSE,"96noleaseup";#N/A,#N/A,FALSE,"96noleaseup matrix";#N/A,#N/A,FALSE,"leaseup 96";#N/A,#N/A,FALSE,"leaseup 96 matrix";#N/A,#N/A,FALSE,"Leaseup and Exp."}</definedName>
    <definedName name="_________________________j2" hidden="1">{#N/A,#N/A,FALSE,"I&amp;E";#N/A,#N/A,FALSE,"rent roll";#N/A,#N/A,FALSE,"96noleaseup";#N/A,#N/A,FALSE,"96noleaseup matrix";#N/A,#N/A,FALSE,"leaseup 96";#N/A,#N/A,FALSE,"leaseup 96 matrix";#N/A,#N/A,FALSE,"Leaseup and Exp."}</definedName>
    <definedName name="________________________a1" hidden="1">{#N/A,#N/A,FALSE,"I&amp;E";#N/A,#N/A,FALSE,"rent roll";#N/A,#N/A,FALSE,"96noleaseup";#N/A,#N/A,FALSE,"96noleaseup matrix";#N/A,#N/A,FALSE,"leaseup 96";#N/A,#N/A,FALSE,"leaseup 96 matrix";#N/A,#N/A,FALSE,"Leaseup and Exp."}</definedName>
    <definedName name="________________________aaa12" hidden="1">{#N/A,#N/A,FALSE,"I&amp;E";#N/A,#N/A,FALSE,"rent roll";#N/A,#N/A,FALSE,"96noleaseup";#N/A,#N/A,FALSE,"96noleaseup matrix";#N/A,#N/A,FALSE,"leaseup 96";#N/A,#N/A,FALSE,"leaseup 96 matrix";#N/A,#N/A,FALSE,"Leaseup and Exp."}</definedName>
    <definedName name="________________________J1" hidden="1">{#N/A,#N/A,FALSE,"I&amp;E";#N/A,#N/A,FALSE,"rent roll";#N/A,#N/A,FALSE,"96noleaseup";#N/A,#N/A,FALSE,"96noleaseup matrix";#N/A,#N/A,FALSE,"leaseup 96";#N/A,#N/A,FALSE,"leaseup 96 matrix";#N/A,#N/A,FALSE,"Leaseup and Exp."}</definedName>
    <definedName name="________________________j2" hidden="1">{#N/A,#N/A,FALSE,"I&amp;E";#N/A,#N/A,FALSE,"rent roll";#N/A,#N/A,FALSE,"96noleaseup";#N/A,#N/A,FALSE,"96noleaseup matrix";#N/A,#N/A,FALSE,"leaseup 96";#N/A,#N/A,FALSE,"leaseup 96 matrix";#N/A,#N/A,FALSE,"Leaseup and Exp."}</definedName>
    <definedName name="_______________________a1" hidden="1">{#N/A,#N/A,FALSE,"I&amp;E";#N/A,#N/A,FALSE,"rent roll";#N/A,#N/A,FALSE,"96noleaseup";#N/A,#N/A,FALSE,"96noleaseup matrix";#N/A,#N/A,FALSE,"leaseup 96";#N/A,#N/A,FALSE,"leaseup 96 matrix";#N/A,#N/A,FALSE,"Leaseup and Exp."}</definedName>
    <definedName name="_______________________aaa12" hidden="1">{#N/A,#N/A,FALSE,"I&amp;E";#N/A,#N/A,FALSE,"rent roll";#N/A,#N/A,FALSE,"96noleaseup";#N/A,#N/A,FALSE,"96noleaseup matrix";#N/A,#N/A,FALSE,"leaseup 96";#N/A,#N/A,FALSE,"leaseup 96 matrix";#N/A,#N/A,FALSE,"Leaseup and Exp."}</definedName>
    <definedName name="_______________________J1" hidden="1">{#N/A,#N/A,FALSE,"I&amp;E";#N/A,#N/A,FALSE,"rent roll";#N/A,#N/A,FALSE,"96noleaseup";#N/A,#N/A,FALSE,"96noleaseup matrix";#N/A,#N/A,FALSE,"leaseup 96";#N/A,#N/A,FALSE,"leaseup 96 matrix";#N/A,#N/A,FALSE,"Leaseup and Exp."}</definedName>
    <definedName name="_______________________j2" hidden="1">{#N/A,#N/A,FALSE,"I&amp;E";#N/A,#N/A,FALSE,"rent roll";#N/A,#N/A,FALSE,"96noleaseup";#N/A,#N/A,FALSE,"96noleaseup matrix";#N/A,#N/A,FALSE,"leaseup 96";#N/A,#N/A,FALSE,"leaseup 96 matrix";#N/A,#N/A,FALSE,"Leaseup and Exp."}</definedName>
    <definedName name="______________________a1" hidden="1">{#N/A,#N/A,FALSE,"I&amp;E";#N/A,#N/A,FALSE,"rent roll";#N/A,#N/A,FALSE,"96noleaseup";#N/A,#N/A,FALSE,"96noleaseup matrix";#N/A,#N/A,FALSE,"leaseup 96";#N/A,#N/A,FALSE,"leaseup 96 matrix";#N/A,#N/A,FALSE,"Leaseup and Exp."}</definedName>
    <definedName name="______________________aaa12" hidden="1">{#N/A,#N/A,FALSE,"I&amp;E";#N/A,#N/A,FALSE,"rent roll";#N/A,#N/A,FALSE,"96noleaseup";#N/A,#N/A,FALSE,"96noleaseup matrix";#N/A,#N/A,FALSE,"leaseup 96";#N/A,#N/A,FALSE,"leaseup 96 matrix";#N/A,#N/A,FALSE,"Leaseup and Exp."}</definedName>
    <definedName name="______________________J1" hidden="1">{#N/A,#N/A,FALSE,"I&amp;E";#N/A,#N/A,FALSE,"rent roll";#N/A,#N/A,FALSE,"96noleaseup";#N/A,#N/A,FALSE,"96noleaseup matrix";#N/A,#N/A,FALSE,"leaseup 96";#N/A,#N/A,FALSE,"leaseup 96 matrix";#N/A,#N/A,FALSE,"Leaseup and Exp."}</definedName>
    <definedName name="______________________J1_1" hidden="1">{#N/A,#N/A,FALSE,"I&amp;E";#N/A,#N/A,FALSE,"rent roll";#N/A,#N/A,FALSE,"96noleaseup";#N/A,#N/A,FALSE,"96noleaseup matrix";#N/A,#N/A,FALSE,"leaseup 96";#N/A,#N/A,FALSE,"leaseup 96 matrix";#N/A,#N/A,FALSE,"Leaseup and Exp."}</definedName>
    <definedName name="______________________j2" hidden="1">{#N/A,#N/A,FALSE,"I&amp;E";#N/A,#N/A,FALSE,"rent roll";#N/A,#N/A,FALSE,"96noleaseup";#N/A,#N/A,FALSE,"96noleaseup matrix";#N/A,#N/A,FALSE,"leaseup 96";#N/A,#N/A,FALSE,"leaseup 96 matrix";#N/A,#N/A,FALSE,"Leaseup and Exp."}</definedName>
    <definedName name="______________________j2_1" hidden="1">{#N/A,#N/A,FALSE,"I&amp;E";#N/A,#N/A,FALSE,"rent roll";#N/A,#N/A,FALSE,"96noleaseup";#N/A,#N/A,FALSE,"96noleaseup matrix";#N/A,#N/A,FALSE,"leaseup 96";#N/A,#N/A,FALSE,"leaseup 96 matrix";#N/A,#N/A,FALSE,"Leaseup and Exp."}</definedName>
    <definedName name="_____________________a1" hidden="1">{#N/A,#N/A,FALSE,"I&amp;E";#N/A,#N/A,FALSE,"rent roll";#N/A,#N/A,FALSE,"96noleaseup";#N/A,#N/A,FALSE,"96noleaseup matrix";#N/A,#N/A,FALSE,"leaseup 96";#N/A,#N/A,FALSE,"leaseup 96 matrix";#N/A,#N/A,FALSE,"Leaseup and Exp."}</definedName>
    <definedName name="_____________________a1_1" hidden="1">{#N/A,#N/A,FALSE,"I&amp;E";#N/A,#N/A,FALSE,"rent roll";#N/A,#N/A,FALSE,"96noleaseup";#N/A,#N/A,FALSE,"96noleaseup matrix";#N/A,#N/A,FALSE,"leaseup 96";#N/A,#N/A,FALSE,"leaseup 96 matrix";#N/A,#N/A,FALSE,"Leaseup and Exp."}</definedName>
    <definedName name="_____________________aaa12" hidden="1">{#N/A,#N/A,FALSE,"I&amp;E";#N/A,#N/A,FALSE,"rent roll";#N/A,#N/A,FALSE,"96noleaseup";#N/A,#N/A,FALSE,"96noleaseup matrix";#N/A,#N/A,FALSE,"leaseup 96";#N/A,#N/A,FALSE,"leaseup 96 matrix";#N/A,#N/A,FALSE,"Leaseup and Exp."}</definedName>
    <definedName name="_____________________J1" hidden="1">{#N/A,#N/A,FALSE,"I&amp;E";#N/A,#N/A,FALSE,"rent roll";#N/A,#N/A,FALSE,"96noleaseup";#N/A,#N/A,FALSE,"96noleaseup matrix";#N/A,#N/A,FALSE,"leaseup 96";#N/A,#N/A,FALSE,"leaseup 96 matrix";#N/A,#N/A,FALSE,"Leaseup and Exp."}</definedName>
    <definedName name="_____________________J1_1" hidden="1">{#N/A,#N/A,FALSE,"I&amp;E";#N/A,#N/A,FALSE,"rent roll";#N/A,#N/A,FALSE,"96noleaseup";#N/A,#N/A,FALSE,"96noleaseup matrix";#N/A,#N/A,FALSE,"leaseup 96";#N/A,#N/A,FALSE,"leaseup 96 matrix";#N/A,#N/A,FALSE,"Leaseup and Exp."}</definedName>
    <definedName name="_____________________j2" hidden="1">{#N/A,#N/A,FALSE,"I&amp;E";#N/A,#N/A,FALSE,"rent roll";#N/A,#N/A,FALSE,"96noleaseup";#N/A,#N/A,FALSE,"96noleaseup matrix";#N/A,#N/A,FALSE,"leaseup 96";#N/A,#N/A,FALSE,"leaseup 96 matrix";#N/A,#N/A,FALSE,"Leaseup and Exp."}</definedName>
    <definedName name="_____________________j2_1" hidden="1">{#N/A,#N/A,FALSE,"I&amp;E";#N/A,#N/A,FALSE,"rent roll";#N/A,#N/A,FALSE,"96noleaseup";#N/A,#N/A,FALSE,"96noleaseup matrix";#N/A,#N/A,FALSE,"leaseup 96";#N/A,#N/A,FALSE,"leaseup 96 matrix";#N/A,#N/A,FALSE,"Leaseup and Exp."}</definedName>
    <definedName name="____________________a1" hidden="1">{#N/A,#N/A,FALSE,"I&amp;E";#N/A,#N/A,FALSE,"rent roll";#N/A,#N/A,FALSE,"96noleaseup";#N/A,#N/A,FALSE,"96noleaseup matrix";#N/A,#N/A,FALSE,"leaseup 96";#N/A,#N/A,FALSE,"leaseup 96 matrix";#N/A,#N/A,FALSE,"Leaseup and Exp."}</definedName>
    <definedName name="____________________a1_1" hidden="1">{#N/A,#N/A,FALSE,"I&amp;E";#N/A,#N/A,FALSE,"rent roll";#N/A,#N/A,FALSE,"96noleaseup";#N/A,#N/A,FALSE,"96noleaseup matrix";#N/A,#N/A,FALSE,"leaseup 96";#N/A,#N/A,FALSE,"leaseup 96 matrix";#N/A,#N/A,FALSE,"Leaseup and Exp."}</definedName>
    <definedName name="____________________aaa12" hidden="1">{#N/A,#N/A,FALSE,"I&amp;E";#N/A,#N/A,FALSE,"rent roll";#N/A,#N/A,FALSE,"96noleaseup";#N/A,#N/A,FALSE,"96noleaseup matrix";#N/A,#N/A,FALSE,"leaseup 96";#N/A,#N/A,FALSE,"leaseup 96 matrix";#N/A,#N/A,FALSE,"Leaseup and Exp."}</definedName>
    <definedName name="____________________J1" hidden="1">{#N/A,#N/A,FALSE,"I&amp;E";#N/A,#N/A,FALSE,"rent roll";#N/A,#N/A,FALSE,"96noleaseup";#N/A,#N/A,FALSE,"96noleaseup matrix";#N/A,#N/A,FALSE,"leaseup 96";#N/A,#N/A,FALSE,"leaseup 96 matrix";#N/A,#N/A,FALSE,"Leaseup and Exp."}</definedName>
    <definedName name="____________________J1_1" hidden="1">{#N/A,#N/A,FALSE,"I&amp;E";#N/A,#N/A,FALSE,"rent roll";#N/A,#N/A,FALSE,"96noleaseup";#N/A,#N/A,FALSE,"96noleaseup matrix";#N/A,#N/A,FALSE,"leaseup 96";#N/A,#N/A,FALSE,"leaseup 96 matrix";#N/A,#N/A,FALSE,"Leaseup and Exp."}</definedName>
    <definedName name="____________________j2" hidden="1">{#N/A,#N/A,FALSE,"I&amp;E";#N/A,#N/A,FALSE,"rent roll";#N/A,#N/A,FALSE,"96noleaseup";#N/A,#N/A,FALSE,"96noleaseup matrix";#N/A,#N/A,FALSE,"leaseup 96";#N/A,#N/A,FALSE,"leaseup 96 matrix";#N/A,#N/A,FALSE,"Leaseup and Exp."}</definedName>
    <definedName name="____________________j2_1" hidden="1">{#N/A,#N/A,FALSE,"I&amp;E";#N/A,#N/A,FALSE,"rent roll";#N/A,#N/A,FALSE,"96noleaseup";#N/A,#N/A,FALSE,"96noleaseup matrix";#N/A,#N/A,FALSE,"leaseup 96";#N/A,#N/A,FALSE,"leaseup 96 matrix";#N/A,#N/A,FALSE,"Leaseup and Exp."}</definedName>
    <definedName name="___________________a1" hidden="1">{#N/A,#N/A,FALSE,"I&amp;E";#N/A,#N/A,FALSE,"rent roll";#N/A,#N/A,FALSE,"96noleaseup";#N/A,#N/A,FALSE,"96noleaseup matrix";#N/A,#N/A,FALSE,"leaseup 96";#N/A,#N/A,FALSE,"leaseup 96 matrix";#N/A,#N/A,FALSE,"Leaseup and Exp."}</definedName>
    <definedName name="___________________a1_1" hidden="1">{#N/A,#N/A,FALSE,"I&amp;E";#N/A,#N/A,FALSE,"rent roll";#N/A,#N/A,FALSE,"96noleaseup";#N/A,#N/A,FALSE,"96noleaseup matrix";#N/A,#N/A,FALSE,"leaseup 96";#N/A,#N/A,FALSE,"leaseup 96 matrix";#N/A,#N/A,FALSE,"Leaseup and Exp."}</definedName>
    <definedName name="___________________aaa12" hidden="1">{#N/A,#N/A,FALSE,"I&amp;E";#N/A,#N/A,FALSE,"rent roll";#N/A,#N/A,FALSE,"96noleaseup";#N/A,#N/A,FALSE,"96noleaseup matrix";#N/A,#N/A,FALSE,"leaseup 96";#N/A,#N/A,FALSE,"leaseup 96 matrix";#N/A,#N/A,FALSE,"Leaseup and Exp."}</definedName>
    <definedName name="___________________J1" hidden="1">{#N/A,#N/A,FALSE,"I&amp;E";#N/A,#N/A,FALSE,"rent roll";#N/A,#N/A,FALSE,"96noleaseup";#N/A,#N/A,FALSE,"96noleaseup matrix";#N/A,#N/A,FALSE,"leaseup 96";#N/A,#N/A,FALSE,"leaseup 96 matrix";#N/A,#N/A,FALSE,"Leaseup and Exp."}</definedName>
    <definedName name="___________________J1_1" hidden="1">{#N/A,#N/A,FALSE,"I&amp;E";#N/A,#N/A,FALSE,"rent roll";#N/A,#N/A,FALSE,"96noleaseup";#N/A,#N/A,FALSE,"96noleaseup matrix";#N/A,#N/A,FALSE,"leaseup 96";#N/A,#N/A,FALSE,"leaseup 96 matrix";#N/A,#N/A,FALSE,"Leaseup and Exp."}</definedName>
    <definedName name="___________________j2" hidden="1">{#N/A,#N/A,FALSE,"I&amp;E";#N/A,#N/A,FALSE,"rent roll";#N/A,#N/A,FALSE,"96noleaseup";#N/A,#N/A,FALSE,"96noleaseup matrix";#N/A,#N/A,FALSE,"leaseup 96";#N/A,#N/A,FALSE,"leaseup 96 matrix";#N/A,#N/A,FALSE,"Leaseup and Exp."}</definedName>
    <definedName name="___________________j2_1" hidden="1">{#N/A,#N/A,FALSE,"I&amp;E";#N/A,#N/A,FALSE,"rent roll";#N/A,#N/A,FALSE,"96noleaseup";#N/A,#N/A,FALSE,"96noleaseup matrix";#N/A,#N/A,FALSE,"leaseup 96";#N/A,#N/A,FALSE,"leaseup 96 matrix";#N/A,#N/A,FALSE,"Leaseup and Exp."}</definedName>
    <definedName name="__________________a1" hidden="1">{#N/A,#N/A,FALSE,"I&amp;E";#N/A,#N/A,FALSE,"rent roll";#N/A,#N/A,FALSE,"96noleaseup";#N/A,#N/A,FALSE,"96noleaseup matrix";#N/A,#N/A,FALSE,"leaseup 96";#N/A,#N/A,FALSE,"leaseup 96 matrix";#N/A,#N/A,FALSE,"Leaseup and Exp."}</definedName>
    <definedName name="__________________a1_1" hidden="1">{#N/A,#N/A,FALSE,"I&amp;E";#N/A,#N/A,FALSE,"rent roll";#N/A,#N/A,FALSE,"96noleaseup";#N/A,#N/A,FALSE,"96noleaseup matrix";#N/A,#N/A,FALSE,"leaseup 96";#N/A,#N/A,FALSE,"leaseup 96 matrix";#N/A,#N/A,FALSE,"Leaseup and Exp."}</definedName>
    <definedName name="__________________aaa12" hidden="1">{#N/A,#N/A,FALSE,"I&amp;E";#N/A,#N/A,FALSE,"rent roll";#N/A,#N/A,FALSE,"96noleaseup";#N/A,#N/A,FALSE,"96noleaseup matrix";#N/A,#N/A,FALSE,"leaseup 96";#N/A,#N/A,FALSE,"leaseup 96 matrix";#N/A,#N/A,FALSE,"Leaseup and Exp."}</definedName>
    <definedName name="__________________J1" hidden="1">{#N/A,#N/A,FALSE,"I&amp;E";#N/A,#N/A,FALSE,"rent roll";#N/A,#N/A,FALSE,"96noleaseup";#N/A,#N/A,FALSE,"96noleaseup matrix";#N/A,#N/A,FALSE,"leaseup 96";#N/A,#N/A,FALSE,"leaseup 96 matrix";#N/A,#N/A,FALSE,"Leaseup and Exp."}</definedName>
    <definedName name="__________________J1_1" hidden="1">{#N/A,#N/A,FALSE,"I&amp;E";#N/A,#N/A,FALSE,"rent roll";#N/A,#N/A,FALSE,"96noleaseup";#N/A,#N/A,FALSE,"96noleaseup matrix";#N/A,#N/A,FALSE,"leaseup 96";#N/A,#N/A,FALSE,"leaseup 96 matrix";#N/A,#N/A,FALSE,"Leaseup and Exp."}</definedName>
    <definedName name="__________________j2" hidden="1">{#N/A,#N/A,FALSE,"I&amp;E";#N/A,#N/A,FALSE,"rent roll";#N/A,#N/A,FALSE,"96noleaseup";#N/A,#N/A,FALSE,"96noleaseup matrix";#N/A,#N/A,FALSE,"leaseup 96";#N/A,#N/A,FALSE,"leaseup 96 matrix";#N/A,#N/A,FALSE,"Leaseup and Exp."}</definedName>
    <definedName name="__________________j2_1" hidden="1">{#N/A,#N/A,FALSE,"I&amp;E";#N/A,#N/A,FALSE,"rent roll";#N/A,#N/A,FALSE,"96noleaseup";#N/A,#N/A,FALSE,"96noleaseup matrix";#N/A,#N/A,FALSE,"leaseup 96";#N/A,#N/A,FALSE,"leaseup 96 matrix";#N/A,#N/A,FALSE,"Leaseup and Exp."}</definedName>
    <definedName name="_________________a1" hidden="1">{#N/A,#N/A,FALSE,"I&amp;E";#N/A,#N/A,FALSE,"rent roll";#N/A,#N/A,FALSE,"96noleaseup";#N/A,#N/A,FALSE,"96noleaseup matrix";#N/A,#N/A,FALSE,"leaseup 96";#N/A,#N/A,FALSE,"leaseup 96 matrix";#N/A,#N/A,FALSE,"Leaseup and Exp."}</definedName>
    <definedName name="_________________a1_1" hidden="1">{#N/A,#N/A,FALSE,"I&amp;E";#N/A,#N/A,FALSE,"rent roll";#N/A,#N/A,FALSE,"96noleaseup";#N/A,#N/A,FALSE,"96noleaseup matrix";#N/A,#N/A,FALSE,"leaseup 96";#N/A,#N/A,FALSE,"leaseup 96 matrix";#N/A,#N/A,FALSE,"Leaseup and Exp."}</definedName>
    <definedName name="_________________aaa12" hidden="1">{#N/A,#N/A,FALSE,"I&amp;E";#N/A,#N/A,FALSE,"rent roll";#N/A,#N/A,FALSE,"96noleaseup";#N/A,#N/A,FALSE,"96noleaseup matrix";#N/A,#N/A,FALSE,"leaseup 96";#N/A,#N/A,FALSE,"leaseup 96 matrix";#N/A,#N/A,FALSE,"Leaseup and Exp."}</definedName>
    <definedName name="_________________J1" hidden="1">{#N/A,#N/A,FALSE,"I&amp;E";#N/A,#N/A,FALSE,"rent roll";#N/A,#N/A,FALSE,"96noleaseup";#N/A,#N/A,FALSE,"96noleaseup matrix";#N/A,#N/A,FALSE,"leaseup 96";#N/A,#N/A,FALSE,"leaseup 96 matrix";#N/A,#N/A,FALSE,"Leaseup and Exp."}</definedName>
    <definedName name="_________________j2" hidden="1">{#N/A,#N/A,FALSE,"I&amp;E";#N/A,#N/A,FALSE,"rent roll";#N/A,#N/A,FALSE,"96noleaseup";#N/A,#N/A,FALSE,"96noleaseup matrix";#N/A,#N/A,FALSE,"leaseup 96";#N/A,#N/A,FALSE,"leaseup 96 matrix";#N/A,#N/A,FALSE,"Leaseup and Exp."}</definedName>
    <definedName name="________________a1" hidden="1">{#N/A,#N/A,FALSE,"I&amp;E";#N/A,#N/A,FALSE,"rent roll";#N/A,#N/A,FALSE,"96noleaseup";#N/A,#N/A,FALSE,"96noleaseup matrix";#N/A,#N/A,FALSE,"leaseup 96";#N/A,#N/A,FALSE,"leaseup 96 matrix";#N/A,#N/A,FALSE,"Leaseup and Exp."}</definedName>
    <definedName name="________________aaa12" hidden="1">{#N/A,#N/A,FALSE,"I&amp;E";#N/A,#N/A,FALSE,"rent roll";#N/A,#N/A,FALSE,"96noleaseup";#N/A,#N/A,FALSE,"96noleaseup matrix";#N/A,#N/A,FALSE,"leaseup 96";#N/A,#N/A,FALSE,"leaseup 96 matrix";#N/A,#N/A,FALSE,"Leaseup and Exp."}</definedName>
    <definedName name="________________J1" hidden="1">{#N/A,#N/A,FALSE,"I&amp;E";#N/A,#N/A,FALSE,"rent roll";#N/A,#N/A,FALSE,"96noleaseup";#N/A,#N/A,FALSE,"96noleaseup matrix";#N/A,#N/A,FALSE,"leaseup 96";#N/A,#N/A,FALSE,"leaseup 96 matrix";#N/A,#N/A,FALSE,"Leaseup and Exp."}</definedName>
    <definedName name="________________J1_1" hidden="1">{#N/A,#N/A,FALSE,"I&amp;E";#N/A,#N/A,FALSE,"rent roll";#N/A,#N/A,FALSE,"96noleaseup";#N/A,#N/A,FALSE,"96noleaseup matrix";#N/A,#N/A,FALSE,"leaseup 96";#N/A,#N/A,FALSE,"leaseup 96 matrix";#N/A,#N/A,FALSE,"Leaseup and Exp."}</definedName>
    <definedName name="________________j2" hidden="1">{#N/A,#N/A,FALSE,"I&amp;E";#N/A,#N/A,FALSE,"rent roll";#N/A,#N/A,FALSE,"96noleaseup";#N/A,#N/A,FALSE,"96noleaseup matrix";#N/A,#N/A,FALSE,"leaseup 96";#N/A,#N/A,FALSE,"leaseup 96 matrix";#N/A,#N/A,FALSE,"Leaseup and Exp."}</definedName>
    <definedName name="________________j2_1" hidden="1">{#N/A,#N/A,FALSE,"I&amp;E";#N/A,#N/A,FALSE,"rent roll";#N/A,#N/A,FALSE,"96noleaseup";#N/A,#N/A,FALSE,"96noleaseup matrix";#N/A,#N/A,FALSE,"leaseup 96";#N/A,#N/A,FALSE,"leaseup 96 matrix";#N/A,#N/A,FALSE,"Leaseup and Exp."}</definedName>
    <definedName name="_______________a1" hidden="1">{#N/A,#N/A,FALSE,"I&amp;E";#N/A,#N/A,FALSE,"rent roll";#N/A,#N/A,FALSE,"96noleaseup";#N/A,#N/A,FALSE,"96noleaseup matrix";#N/A,#N/A,FALSE,"leaseup 96";#N/A,#N/A,FALSE,"leaseup 96 matrix";#N/A,#N/A,FALSE,"Leaseup and Exp."}</definedName>
    <definedName name="_______________a1_1" hidden="1">{#N/A,#N/A,FALSE,"I&amp;E";#N/A,#N/A,FALSE,"rent roll";#N/A,#N/A,FALSE,"96noleaseup";#N/A,#N/A,FALSE,"96noleaseup matrix";#N/A,#N/A,FALSE,"leaseup 96";#N/A,#N/A,FALSE,"leaseup 96 matrix";#N/A,#N/A,FALSE,"Leaseup and Exp."}</definedName>
    <definedName name="_______________aaa12" hidden="1">{#N/A,#N/A,FALSE,"I&amp;E";#N/A,#N/A,FALSE,"rent roll";#N/A,#N/A,FALSE,"96noleaseup";#N/A,#N/A,FALSE,"96noleaseup matrix";#N/A,#N/A,FALSE,"leaseup 96";#N/A,#N/A,FALSE,"leaseup 96 matrix";#N/A,#N/A,FALSE,"Leaseup and Exp."}</definedName>
    <definedName name="_______________J1" hidden="1">{#N/A,#N/A,FALSE,"I&amp;E";#N/A,#N/A,FALSE,"rent roll";#N/A,#N/A,FALSE,"96noleaseup";#N/A,#N/A,FALSE,"96noleaseup matrix";#N/A,#N/A,FALSE,"leaseup 96";#N/A,#N/A,FALSE,"leaseup 96 matrix";#N/A,#N/A,FALSE,"Leaseup and Exp."}</definedName>
    <definedName name="_______________J1_1" hidden="1">{#N/A,#N/A,FALSE,"I&amp;E";#N/A,#N/A,FALSE,"rent roll";#N/A,#N/A,FALSE,"96noleaseup";#N/A,#N/A,FALSE,"96noleaseup matrix";#N/A,#N/A,FALSE,"leaseup 96";#N/A,#N/A,FALSE,"leaseup 96 matrix";#N/A,#N/A,FALSE,"Leaseup and Exp."}</definedName>
    <definedName name="_______________j2" hidden="1">{#N/A,#N/A,FALSE,"I&amp;E";#N/A,#N/A,FALSE,"rent roll";#N/A,#N/A,FALSE,"96noleaseup";#N/A,#N/A,FALSE,"96noleaseup matrix";#N/A,#N/A,FALSE,"leaseup 96";#N/A,#N/A,FALSE,"leaseup 96 matrix";#N/A,#N/A,FALSE,"Leaseup and Exp."}</definedName>
    <definedName name="_______________j2_1" hidden="1">{#N/A,#N/A,FALSE,"I&amp;E";#N/A,#N/A,FALSE,"rent roll";#N/A,#N/A,FALSE,"96noleaseup";#N/A,#N/A,FALSE,"96noleaseup matrix";#N/A,#N/A,FALSE,"leaseup 96";#N/A,#N/A,FALSE,"leaseup 96 matrix";#N/A,#N/A,FALSE,"Leaseup and Exp."}</definedName>
    <definedName name="______________a1" hidden="1">{#N/A,#N/A,FALSE,"I&amp;E";#N/A,#N/A,FALSE,"rent roll";#N/A,#N/A,FALSE,"96noleaseup";#N/A,#N/A,FALSE,"96noleaseup matrix";#N/A,#N/A,FALSE,"leaseup 96";#N/A,#N/A,FALSE,"leaseup 96 matrix";#N/A,#N/A,FALSE,"Leaseup and Exp."}</definedName>
    <definedName name="______________a1_1" hidden="1">{#N/A,#N/A,FALSE,"I&amp;E";#N/A,#N/A,FALSE,"rent roll";#N/A,#N/A,FALSE,"96noleaseup";#N/A,#N/A,FALSE,"96noleaseup matrix";#N/A,#N/A,FALSE,"leaseup 96";#N/A,#N/A,FALSE,"leaseup 96 matrix";#N/A,#N/A,FALSE,"Leaseup and Exp."}</definedName>
    <definedName name="______________aaa12" hidden="1">{#N/A,#N/A,FALSE,"I&amp;E";#N/A,#N/A,FALSE,"rent roll";#N/A,#N/A,FALSE,"96noleaseup";#N/A,#N/A,FALSE,"96noleaseup matrix";#N/A,#N/A,FALSE,"leaseup 96";#N/A,#N/A,FALSE,"leaseup 96 matrix";#N/A,#N/A,FALSE,"Leaseup and Exp."}</definedName>
    <definedName name="______________J1" hidden="1">{#N/A,#N/A,FALSE,"I&amp;E";#N/A,#N/A,FALSE,"rent roll";#N/A,#N/A,FALSE,"96noleaseup";#N/A,#N/A,FALSE,"96noleaseup matrix";#N/A,#N/A,FALSE,"leaseup 96";#N/A,#N/A,FALSE,"leaseup 96 matrix";#N/A,#N/A,FALSE,"Leaseup and Exp."}</definedName>
    <definedName name="______________J1_1" hidden="1">{#N/A,#N/A,FALSE,"I&amp;E";#N/A,#N/A,FALSE,"rent roll";#N/A,#N/A,FALSE,"96noleaseup";#N/A,#N/A,FALSE,"96noleaseup matrix";#N/A,#N/A,FALSE,"leaseup 96";#N/A,#N/A,FALSE,"leaseup 96 matrix";#N/A,#N/A,FALSE,"Leaseup and Exp."}</definedName>
    <definedName name="______________j2" hidden="1">{#N/A,#N/A,FALSE,"I&amp;E";#N/A,#N/A,FALSE,"rent roll";#N/A,#N/A,FALSE,"96noleaseup";#N/A,#N/A,FALSE,"96noleaseup matrix";#N/A,#N/A,FALSE,"leaseup 96";#N/A,#N/A,FALSE,"leaseup 96 matrix";#N/A,#N/A,FALSE,"Leaseup and Exp."}</definedName>
    <definedName name="______________j2_1" hidden="1">{#N/A,#N/A,FALSE,"I&amp;E";#N/A,#N/A,FALSE,"rent roll";#N/A,#N/A,FALSE,"96noleaseup";#N/A,#N/A,FALSE,"96noleaseup matrix";#N/A,#N/A,FALSE,"leaseup 96";#N/A,#N/A,FALSE,"leaseup 96 matrix";#N/A,#N/A,FALSE,"Leaseup and Exp."}</definedName>
    <definedName name="_____________a1" hidden="1">{#N/A,#N/A,FALSE,"I&amp;E";#N/A,#N/A,FALSE,"rent roll";#N/A,#N/A,FALSE,"96noleaseup";#N/A,#N/A,FALSE,"96noleaseup matrix";#N/A,#N/A,FALSE,"leaseup 96";#N/A,#N/A,FALSE,"leaseup 96 matrix";#N/A,#N/A,FALSE,"Leaseup and Exp."}</definedName>
    <definedName name="_____________a1_1" hidden="1">{#N/A,#N/A,FALSE,"I&amp;E";#N/A,#N/A,FALSE,"rent roll";#N/A,#N/A,FALSE,"96noleaseup";#N/A,#N/A,FALSE,"96noleaseup matrix";#N/A,#N/A,FALSE,"leaseup 96";#N/A,#N/A,FALSE,"leaseup 96 matrix";#N/A,#N/A,FALSE,"Leaseup and Exp."}</definedName>
    <definedName name="_____________aaa12" hidden="1">{#N/A,#N/A,FALSE,"I&amp;E";#N/A,#N/A,FALSE,"rent roll";#N/A,#N/A,FALSE,"96noleaseup";#N/A,#N/A,FALSE,"96noleaseup matrix";#N/A,#N/A,FALSE,"leaseup 96";#N/A,#N/A,FALSE,"leaseup 96 matrix";#N/A,#N/A,FALSE,"Leaseup and Exp."}</definedName>
    <definedName name="_____________aaa12_1" hidden="1">{#N/A,#N/A,FALSE,"I&amp;E";#N/A,#N/A,FALSE,"rent roll";#N/A,#N/A,FALSE,"96noleaseup";#N/A,#N/A,FALSE,"96noleaseup matrix";#N/A,#N/A,FALSE,"leaseup 96";#N/A,#N/A,FALSE,"leaseup 96 matrix";#N/A,#N/A,FALSE,"Leaseup and Exp."}</definedName>
    <definedName name="_____________J1" hidden="1">{#N/A,#N/A,FALSE,"I&amp;E";#N/A,#N/A,FALSE,"rent roll";#N/A,#N/A,FALSE,"96noleaseup";#N/A,#N/A,FALSE,"96noleaseup matrix";#N/A,#N/A,FALSE,"leaseup 96";#N/A,#N/A,FALSE,"leaseup 96 matrix";#N/A,#N/A,FALSE,"Leaseup and Exp."}</definedName>
    <definedName name="_____________J1_1" hidden="1">{#N/A,#N/A,FALSE,"I&amp;E";#N/A,#N/A,FALSE,"rent roll";#N/A,#N/A,FALSE,"96noleaseup";#N/A,#N/A,FALSE,"96noleaseup matrix";#N/A,#N/A,FALSE,"leaseup 96";#N/A,#N/A,FALSE,"leaseup 96 matrix";#N/A,#N/A,FALSE,"Leaseup and Exp."}</definedName>
    <definedName name="_____________j2" hidden="1">{#N/A,#N/A,FALSE,"I&amp;E";#N/A,#N/A,FALSE,"rent roll";#N/A,#N/A,FALSE,"96noleaseup";#N/A,#N/A,FALSE,"96noleaseup matrix";#N/A,#N/A,FALSE,"leaseup 96";#N/A,#N/A,FALSE,"leaseup 96 matrix";#N/A,#N/A,FALSE,"Leaseup and Exp."}</definedName>
    <definedName name="_____________j2_1" hidden="1">{#N/A,#N/A,FALSE,"I&amp;E";#N/A,#N/A,FALSE,"rent roll";#N/A,#N/A,FALSE,"96noleaseup";#N/A,#N/A,FALSE,"96noleaseup matrix";#N/A,#N/A,FALSE,"leaseup 96";#N/A,#N/A,FALSE,"leaseup 96 matrix";#N/A,#N/A,FALSE,"Leaseup and Exp."}</definedName>
    <definedName name="____________a1" hidden="1">{#N/A,#N/A,FALSE,"I&amp;E";#N/A,#N/A,FALSE,"rent roll";#N/A,#N/A,FALSE,"96noleaseup";#N/A,#N/A,FALSE,"96noleaseup matrix";#N/A,#N/A,FALSE,"leaseup 96";#N/A,#N/A,FALSE,"leaseup 96 matrix";#N/A,#N/A,FALSE,"Leaseup and Exp."}</definedName>
    <definedName name="____________a1_1" hidden="1">{#N/A,#N/A,FALSE,"I&amp;E";#N/A,#N/A,FALSE,"rent roll";#N/A,#N/A,FALSE,"96noleaseup";#N/A,#N/A,FALSE,"96noleaseup matrix";#N/A,#N/A,FALSE,"leaseup 96";#N/A,#N/A,FALSE,"leaseup 96 matrix";#N/A,#N/A,FALSE,"Leaseup and Exp."}</definedName>
    <definedName name="____________aaa12" hidden="1">{#N/A,#N/A,FALSE,"I&amp;E";#N/A,#N/A,FALSE,"rent roll";#N/A,#N/A,FALSE,"96noleaseup";#N/A,#N/A,FALSE,"96noleaseup matrix";#N/A,#N/A,FALSE,"leaseup 96";#N/A,#N/A,FALSE,"leaseup 96 matrix";#N/A,#N/A,FALSE,"Leaseup and Exp."}</definedName>
    <definedName name="____________aaa12_1" hidden="1">{#N/A,#N/A,FALSE,"I&amp;E";#N/A,#N/A,FALSE,"rent roll";#N/A,#N/A,FALSE,"96noleaseup";#N/A,#N/A,FALSE,"96noleaseup matrix";#N/A,#N/A,FALSE,"leaseup 96";#N/A,#N/A,FALSE,"leaseup 96 matrix";#N/A,#N/A,FALSE,"Leaseup and Exp."}</definedName>
    <definedName name="____________J1" hidden="1">{#N/A,#N/A,FALSE,"I&amp;E";#N/A,#N/A,FALSE,"rent roll";#N/A,#N/A,FALSE,"96noleaseup";#N/A,#N/A,FALSE,"96noleaseup matrix";#N/A,#N/A,FALSE,"leaseup 96";#N/A,#N/A,FALSE,"leaseup 96 matrix";#N/A,#N/A,FALSE,"Leaseup and Exp."}</definedName>
    <definedName name="____________J1_1" hidden="1">{#N/A,#N/A,FALSE,"I&amp;E";#N/A,#N/A,FALSE,"rent roll";#N/A,#N/A,FALSE,"96noleaseup";#N/A,#N/A,FALSE,"96noleaseup matrix";#N/A,#N/A,FALSE,"leaseup 96";#N/A,#N/A,FALSE,"leaseup 96 matrix";#N/A,#N/A,FALSE,"Leaseup and Exp."}</definedName>
    <definedName name="____________j2" hidden="1">{#N/A,#N/A,FALSE,"I&amp;E";#N/A,#N/A,FALSE,"rent roll";#N/A,#N/A,FALSE,"96noleaseup";#N/A,#N/A,FALSE,"96noleaseup matrix";#N/A,#N/A,FALSE,"leaseup 96";#N/A,#N/A,FALSE,"leaseup 96 matrix";#N/A,#N/A,FALSE,"Leaseup and Exp."}</definedName>
    <definedName name="____________j2_1" hidden="1">{#N/A,#N/A,FALSE,"I&amp;E";#N/A,#N/A,FALSE,"rent roll";#N/A,#N/A,FALSE,"96noleaseup";#N/A,#N/A,FALSE,"96noleaseup matrix";#N/A,#N/A,FALSE,"leaseup 96";#N/A,#N/A,FALSE,"leaseup 96 matrix";#N/A,#N/A,FALSE,"Leaseup and Exp."}</definedName>
    <definedName name="___________a1" hidden="1">{#N/A,#N/A,FALSE,"I&amp;E";#N/A,#N/A,FALSE,"rent roll";#N/A,#N/A,FALSE,"96noleaseup";#N/A,#N/A,FALSE,"96noleaseup matrix";#N/A,#N/A,FALSE,"leaseup 96";#N/A,#N/A,FALSE,"leaseup 96 matrix";#N/A,#N/A,FALSE,"Leaseup and Exp."}</definedName>
    <definedName name="___________a1_1" hidden="1">{#N/A,#N/A,FALSE,"I&amp;E";#N/A,#N/A,FALSE,"rent roll";#N/A,#N/A,FALSE,"96noleaseup";#N/A,#N/A,FALSE,"96noleaseup matrix";#N/A,#N/A,FALSE,"leaseup 96";#N/A,#N/A,FALSE,"leaseup 96 matrix";#N/A,#N/A,FALSE,"Leaseup and Exp."}</definedName>
    <definedName name="___________aaa12" hidden="1">{#N/A,#N/A,FALSE,"I&amp;E";#N/A,#N/A,FALSE,"rent roll";#N/A,#N/A,FALSE,"96noleaseup";#N/A,#N/A,FALSE,"96noleaseup matrix";#N/A,#N/A,FALSE,"leaseup 96";#N/A,#N/A,FALSE,"leaseup 96 matrix";#N/A,#N/A,FALSE,"Leaseup and Exp."}</definedName>
    <definedName name="___________aaa12_1" hidden="1">{#N/A,#N/A,FALSE,"I&amp;E";#N/A,#N/A,FALSE,"rent roll";#N/A,#N/A,FALSE,"96noleaseup";#N/A,#N/A,FALSE,"96noleaseup matrix";#N/A,#N/A,FALSE,"leaseup 96";#N/A,#N/A,FALSE,"leaseup 96 matrix";#N/A,#N/A,FALSE,"Leaseup and Exp."}</definedName>
    <definedName name="___________J1" hidden="1">{#N/A,#N/A,FALSE,"I&amp;E";#N/A,#N/A,FALSE,"rent roll";#N/A,#N/A,FALSE,"96noleaseup";#N/A,#N/A,FALSE,"96noleaseup matrix";#N/A,#N/A,FALSE,"leaseup 96";#N/A,#N/A,FALSE,"leaseup 96 matrix";#N/A,#N/A,FALSE,"Leaseup and Exp."}</definedName>
    <definedName name="___________J1_1" hidden="1">{#N/A,#N/A,FALSE,"I&amp;E";#N/A,#N/A,FALSE,"rent roll";#N/A,#N/A,FALSE,"96noleaseup";#N/A,#N/A,FALSE,"96noleaseup matrix";#N/A,#N/A,FALSE,"leaseup 96";#N/A,#N/A,FALSE,"leaseup 96 matrix";#N/A,#N/A,FALSE,"Leaseup and Exp."}</definedName>
    <definedName name="___________j2" hidden="1">{#N/A,#N/A,FALSE,"I&amp;E";#N/A,#N/A,FALSE,"rent roll";#N/A,#N/A,FALSE,"96noleaseup";#N/A,#N/A,FALSE,"96noleaseup matrix";#N/A,#N/A,FALSE,"leaseup 96";#N/A,#N/A,FALSE,"leaseup 96 matrix";#N/A,#N/A,FALSE,"Leaseup and Exp."}</definedName>
    <definedName name="___________j2_1" hidden="1">{#N/A,#N/A,FALSE,"I&amp;E";#N/A,#N/A,FALSE,"rent roll";#N/A,#N/A,FALSE,"96noleaseup";#N/A,#N/A,FALSE,"96noleaseup matrix";#N/A,#N/A,FALSE,"leaseup 96";#N/A,#N/A,FALSE,"leaseup 96 matrix";#N/A,#N/A,FALSE,"Leaseup and Exp."}</definedName>
    <definedName name="__________a1" hidden="1">{#N/A,#N/A,FALSE,"I&amp;E";#N/A,#N/A,FALSE,"rent roll";#N/A,#N/A,FALSE,"96noleaseup";#N/A,#N/A,FALSE,"96noleaseup matrix";#N/A,#N/A,FALSE,"leaseup 96";#N/A,#N/A,FALSE,"leaseup 96 matrix";#N/A,#N/A,FALSE,"Leaseup and Exp."}</definedName>
    <definedName name="__________a1_1" hidden="1">{#N/A,#N/A,FALSE,"I&amp;E";#N/A,#N/A,FALSE,"rent roll";#N/A,#N/A,FALSE,"96noleaseup";#N/A,#N/A,FALSE,"96noleaseup matrix";#N/A,#N/A,FALSE,"leaseup 96";#N/A,#N/A,FALSE,"leaseup 96 matrix";#N/A,#N/A,FALSE,"Leaseup and Exp."}</definedName>
    <definedName name="__________aaa12" hidden="1">{#N/A,#N/A,FALSE,"I&amp;E";#N/A,#N/A,FALSE,"rent roll";#N/A,#N/A,FALSE,"96noleaseup";#N/A,#N/A,FALSE,"96noleaseup matrix";#N/A,#N/A,FALSE,"leaseup 96";#N/A,#N/A,FALSE,"leaseup 96 matrix";#N/A,#N/A,FALSE,"Leaseup and Exp."}</definedName>
    <definedName name="__________aaa12_1" hidden="1">{#N/A,#N/A,FALSE,"I&amp;E";#N/A,#N/A,FALSE,"rent roll";#N/A,#N/A,FALSE,"96noleaseup";#N/A,#N/A,FALSE,"96noleaseup matrix";#N/A,#N/A,FALSE,"leaseup 96";#N/A,#N/A,FALSE,"leaseup 96 matrix";#N/A,#N/A,FALSE,"Leaseup and Exp."}</definedName>
    <definedName name="__________J1" hidden="1">{#N/A,#N/A,FALSE,"I&amp;E";#N/A,#N/A,FALSE,"rent roll";#N/A,#N/A,FALSE,"96noleaseup";#N/A,#N/A,FALSE,"96noleaseup matrix";#N/A,#N/A,FALSE,"leaseup 96";#N/A,#N/A,FALSE,"leaseup 96 matrix";#N/A,#N/A,FALSE,"Leaseup and Exp."}</definedName>
    <definedName name="__________J1_1" hidden="1">{#N/A,#N/A,FALSE,"I&amp;E";#N/A,#N/A,FALSE,"rent roll";#N/A,#N/A,FALSE,"96noleaseup";#N/A,#N/A,FALSE,"96noleaseup matrix";#N/A,#N/A,FALSE,"leaseup 96";#N/A,#N/A,FALSE,"leaseup 96 matrix";#N/A,#N/A,FALSE,"Leaseup and Exp."}</definedName>
    <definedName name="__________j2" hidden="1">{#N/A,#N/A,FALSE,"I&amp;E";#N/A,#N/A,FALSE,"rent roll";#N/A,#N/A,FALSE,"96noleaseup";#N/A,#N/A,FALSE,"96noleaseup matrix";#N/A,#N/A,FALSE,"leaseup 96";#N/A,#N/A,FALSE,"leaseup 96 matrix";#N/A,#N/A,FALSE,"Leaseup and Exp."}</definedName>
    <definedName name="__________j2_1" hidden="1">{#N/A,#N/A,FALSE,"I&amp;E";#N/A,#N/A,FALSE,"rent roll";#N/A,#N/A,FALSE,"96noleaseup";#N/A,#N/A,FALSE,"96noleaseup matrix";#N/A,#N/A,FALSE,"leaseup 96";#N/A,#N/A,FALSE,"leaseup 96 matrix";#N/A,#N/A,FALSE,"Leaseup and Exp."}</definedName>
    <definedName name="_________a1" hidden="1">{#N/A,#N/A,FALSE,"I&amp;E";#N/A,#N/A,FALSE,"rent roll";#N/A,#N/A,FALSE,"96noleaseup";#N/A,#N/A,FALSE,"96noleaseup matrix";#N/A,#N/A,FALSE,"leaseup 96";#N/A,#N/A,FALSE,"leaseup 96 matrix";#N/A,#N/A,FALSE,"Leaseup and Exp."}</definedName>
    <definedName name="_________a1_1" hidden="1">{#N/A,#N/A,FALSE,"I&amp;E";#N/A,#N/A,FALSE,"rent roll";#N/A,#N/A,FALSE,"96noleaseup";#N/A,#N/A,FALSE,"96noleaseup matrix";#N/A,#N/A,FALSE,"leaseup 96";#N/A,#N/A,FALSE,"leaseup 96 matrix";#N/A,#N/A,FALSE,"Leaseup and Exp."}</definedName>
    <definedName name="_________aaa12" hidden="1">{#N/A,#N/A,FALSE,"I&amp;E";#N/A,#N/A,FALSE,"rent roll";#N/A,#N/A,FALSE,"96noleaseup";#N/A,#N/A,FALSE,"96noleaseup matrix";#N/A,#N/A,FALSE,"leaseup 96";#N/A,#N/A,FALSE,"leaseup 96 matrix";#N/A,#N/A,FALSE,"Leaseup and Exp."}</definedName>
    <definedName name="_________aaa12_1" hidden="1">{#N/A,#N/A,FALSE,"I&amp;E";#N/A,#N/A,FALSE,"rent roll";#N/A,#N/A,FALSE,"96noleaseup";#N/A,#N/A,FALSE,"96noleaseup matrix";#N/A,#N/A,FALSE,"leaseup 96";#N/A,#N/A,FALSE,"leaseup 96 matrix";#N/A,#N/A,FALSE,"Leaseup and Exp."}</definedName>
    <definedName name="_________J1" hidden="1">{#N/A,#N/A,FALSE,"I&amp;E";#N/A,#N/A,FALSE,"rent roll";#N/A,#N/A,FALSE,"96noleaseup";#N/A,#N/A,FALSE,"96noleaseup matrix";#N/A,#N/A,FALSE,"leaseup 96";#N/A,#N/A,FALSE,"leaseup 96 matrix";#N/A,#N/A,FALSE,"Leaseup and Exp."}</definedName>
    <definedName name="_________J1_1" hidden="1">{#N/A,#N/A,FALSE,"I&amp;E";#N/A,#N/A,FALSE,"rent roll";#N/A,#N/A,FALSE,"96noleaseup";#N/A,#N/A,FALSE,"96noleaseup matrix";#N/A,#N/A,FALSE,"leaseup 96";#N/A,#N/A,FALSE,"leaseup 96 matrix";#N/A,#N/A,FALSE,"Leaseup and Exp."}</definedName>
    <definedName name="_________j2" hidden="1">{#N/A,#N/A,FALSE,"I&amp;E";#N/A,#N/A,FALSE,"rent roll";#N/A,#N/A,FALSE,"96noleaseup";#N/A,#N/A,FALSE,"96noleaseup matrix";#N/A,#N/A,FALSE,"leaseup 96";#N/A,#N/A,FALSE,"leaseup 96 matrix";#N/A,#N/A,FALSE,"Leaseup and Exp."}</definedName>
    <definedName name="_________j2_1" hidden="1">{#N/A,#N/A,FALSE,"I&amp;E";#N/A,#N/A,FALSE,"rent roll";#N/A,#N/A,FALSE,"96noleaseup";#N/A,#N/A,FALSE,"96noleaseup matrix";#N/A,#N/A,FALSE,"leaseup 96";#N/A,#N/A,FALSE,"leaseup 96 matrix";#N/A,#N/A,FALSE,"Leaseup and Exp."}</definedName>
    <definedName name="________a1" hidden="1">{#N/A,#N/A,FALSE,"I&amp;E";#N/A,#N/A,FALSE,"rent roll";#N/A,#N/A,FALSE,"96noleaseup";#N/A,#N/A,FALSE,"96noleaseup matrix";#N/A,#N/A,FALSE,"leaseup 96";#N/A,#N/A,FALSE,"leaseup 96 matrix";#N/A,#N/A,FALSE,"Leaseup and Exp."}</definedName>
    <definedName name="________a1_1" hidden="1">{#N/A,#N/A,FALSE,"I&amp;E";#N/A,#N/A,FALSE,"rent roll";#N/A,#N/A,FALSE,"96noleaseup";#N/A,#N/A,FALSE,"96noleaseup matrix";#N/A,#N/A,FALSE,"leaseup 96";#N/A,#N/A,FALSE,"leaseup 96 matrix";#N/A,#N/A,FALSE,"Leaseup and Exp."}</definedName>
    <definedName name="________aaa12" hidden="1">{#N/A,#N/A,FALSE,"I&amp;E";#N/A,#N/A,FALSE,"rent roll";#N/A,#N/A,FALSE,"96noleaseup";#N/A,#N/A,FALSE,"96noleaseup matrix";#N/A,#N/A,FALSE,"leaseup 96";#N/A,#N/A,FALSE,"leaseup 96 matrix";#N/A,#N/A,FALSE,"Leaseup and Exp."}</definedName>
    <definedName name="________aaa12_1" hidden="1">{#N/A,#N/A,FALSE,"I&amp;E";#N/A,#N/A,FALSE,"rent roll";#N/A,#N/A,FALSE,"96noleaseup";#N/A,#N/A,FALSE,"96noleaseup matrix";#N/A,#N/A,FALSE,"leaseup 96";#N/A,#N/A,FALSE,"leaseup 96 matrix";#N/A,#N/A,FALSE,"Leaseup and Exp."}</definedName>
    <definedName name="________J1" hidden="1">{#N/A,#N/A,FALSE,"I&amp;E";#N/A,#N/A,FALSE,"rent roll";#N/A,#N/A,FALSE,"96noleaseup";#N/A,#N/A,FALSE,"96noleaseup matrix";#N/A,#N/A,FALSE,"leaseup 96";#N/A,#N/A,FALSE,"leaseup 96 matrix";#N/A,#N/A,FALSE,"Leaseup and Exp."}</definedName>
    <definedName name="________J1_1" hidden="1">{#N/A,#N/A,FALSE,"I&amp;E";#N/A,#N/A,FALSE,"rent roll";#N/A,#N/A,FALSE,"96noleaseup";#N/A,#N/A,FALSE,"96noleaseup matrix";#N/A,#N/A,FALSE,"leaseup 96";#N/A,#N/A,FALSE,"leaseup 96 matrix";#N/A,#N/A,FALSE,"Leaseup and Exp."}</definedName>
    <definedName name="________j2" hidden="1">{#N/A,#N/A,FALSE,"I&amp;E";#N/A,#N/A,FALSE,"rent roll";#N/A,#N/A,FALSE,"96noleaseup";#N/A,#N/A,FALSE,"96noleaseup matrix";#N/A,#N/A,FALSE,"leaseup 96";#N/A,#N/A,FALSE,"leaseup 96 matrix";#N/A,#N/A,FALSE,"Leaseup and Exp."}</definedName>
    <definedName name="________j2_1" hidden="1">{#N/A,#N/A,FALSE,"I&amp;E";#N/A,#N/A,FALSE,"rent roll";#N/A,#N/A,FALSE,"96noleaseup";#N/A,#N/A,FALSE,"96noleaseup matrix";#N/A,#N/A,FALSE,"leaseup 96";#N/A,#N/A,FALSE,"leaseup 96 matrix";#N/A,#N/A,FALSE,"Leaseup and Exp."}</definedName>
    <definedName name="_______a1" hidden="1">{#N/A,#N/A,FALSE,"I&amp;E";#N/A,#N/A,FALSE,"rent roll";#N/A,#N/A,FALSE,"96noleaseup";#N/A,#N/A,FALSE,"96noleaseup matrix";#N/A,#N/A,FALSE,"leaseup 96";#N/A,#N/A,FALSE,"leaseup 96 matrix";#N/A,#N/A,FALSE,"Leaseup and Exp."}</definedName>
    <definedName name="_______aaa12" hidden="1">{#N/A,#N/A,FALSE,"I&amp;E";#N/A,#N/A,FALSE,"rent roll";#N/A,#N/A,FALSE,"96noleaseup";#N/A,#N/A,FALSE,"96noleaseup matrix";#N/A,#N/A,FALSE,"leaseup 96";#N/A,#N/A,FALSE,"leaseup 96 matrix";#N/A,#N/A,FALSE,"Leaseup and Exp."}</definedName>
    <definedName name="_______aaa12_1" hidden="1">{#N/A,#N/A,FALSE,"I&amp;E";#N/A,#N/A,FALSE,"rent roll";#N/A,#N/A,FALSE,"96noleaseup";#N/A,#N/A,FALSE,"96noleaseup matrix";#N/A,#N/A,FALSE,"leaseup 96";#N/A,#N/A,FALSE,"leaseup 96 matrix";#N/A,#N/A,FALSE,"Leaseup and Exp."}</definedName>
    <definedName name="_______J1" hidden="1">{#N/A,#N/A,FALSE,"I&amp;E";#N/A,#N/A,FALSE,"rent roll";#N/A,#N/A,FALSE,"96noleaseup";#N/A,#N/A,FALSE,"96noleaseup matrix";#N/A,#N/A,FALSE,"leaseup 96";#N/A,#N/A,FALSE,"leaseup 96 matrix";#N/A,#N/A,FALSE,"Leaseup and Exp."}</definedName>
    <definedName name="_______j2" hidden="1">{#N/A,#N/A,FALSE,"I&amp;E";#N/A,#N/A,FALSE,"rent roll";#N/A,#N/A,FALSE,"96noleaseup";#N/A,#N/A,FALSE,"96noleaseup matrix";#N/A,#N/A,FALSE,"leaseup 96";#N/A,#N/A,FALSE,"leaseup 96 matrix";#N/A,#N/A,FALSE,"Leaseup and Exp."}</definedName>
    <definedName name="______a1" hidden="1">{#N/A,#N/A,FALSE,"I&amp;E";#N/A,#N/A,FALSE,"rent roll";#N/A,#N/A,FALSE,"96noleaseup";#N/A,#N/A,FALSE,"96noleaseup matrix";#N/A,#N/A,FALSE,"leaseup 96";#N/A,#N/A,FALSE,"leaseup 96 matrix";#N/A,#N/A,FALSE,"Leaseup and Exp."}</definedName>
    <definedName name="______a1_1" hidden="1">{#N/A,#N/A,FALSE,"I&amp;E";#N/A,#N/A,FALSE,"rent roll";#N/A,#N/A,FALSE,"96noleaseup";#N/A,#N/A,FALSE,"96noleaseup matrix";#N/A,#N/A,FALSE,"leaseup 96";#N/A,#N/A,FALSE,"leaseup 96 matrix";#N/A,#N/A,FALSE,"Leaseup and Exp."}</definedName>
    <definedName name="______aaa12" hidden="1">{#N/A,#N/A,FALSE,"I&amp;E";#N/A,#N/A,FALSE,"rent roll";#N/A,#N/A,FALSE,"96noleaseup";#N/A,#N/A,FALSE,"96noleaseup matrix";#N/A,#N/A,FALSE,"leaseup 96";#N/A,#N/A,FALSE,"leaseup 96 matrix";#N/A,#N/A,FALSE,"Leaseup and Exp."}</definedName>
    <definedName name="______aaa12_1" hidden="1">{#N/A,#N/A,FALSE,"I&amp;E";#N/A,#N/A,FALSE,"rent roll";#N/A,#N/A,FALSE,"96noleaseup";#N/A,#N/A,FALSE,"96noleaseup matrix";#N/A,#N/A,FALSE,"leaseup 96";#N/A,#N/A,FALSE,"leaseup 96 matrix";#N/A,#N/A,FALSE,"Leaseup and Exp."}</definedName>
    <definedName name="______J1" hidden="1">{#N/A,#N/A,FALSE,"I&amp;E";#N/A,#N/A,FALSE,"rent roll";#N/A,#N/A,FALSE,"96noleaseup";#N/A,#N/A,FALSE,"96noleaseup matrix";#N/A,#N/A,FALSE,"leaseup 96";#N/A,#N/A,FALSE,"leaseup 96 matrix";#N/A,#N/A,FALSE,"Leaseup and Exp."}</definedName>
    <definedName name="______J1_1" hidden="1">{#N/A,#N/A,FALSE,"I&amp;E";#N/A,#N/A,FALSE,"rent roll";#N/A,#N/A,FALSE,"96noleaseup";#N/A,#N/A,FALSE,"96noleaseup matrix";#N/A,#N/A,FALSE,"leaseup 96";#N/A,#N/A,FALSE,"leaseup 96 matrix";#N/A,#N/A,FALSE,"Leaseup and Exp."}</definedName>
    <definedName name="______j2" hidden="1">{#N/A,#N/A,FALSE,"I&amp;E";#N/A,#N/A,FALSE,"rent roll";#N/A,#N/A,FALSE,"96noleaseup";#N/A,#N/A,FALSE,"96noleaseup matrix";#N/A,#N/A,FALSE,"leaseup 96";#N/A,#N/A,FALSE,"leaseup 96 matrix";#N/A,#N/A,FALSE,"Leaseup and Exp."}</definedName>
    <definedName name="______j2_1" hidden="1">{#N/A,#N/A,FALSE,"I&amp;E";#N/A,#N/A,FALSE,"rent roll";#N/A,#N/A,FALSE,"96noleaseup";#N/A,#N/A,FALSE,"96noleaseup matrix";#N/A,#N/A,FALSE,"leaseup 96";#N/A,#N/A,FALSE,"leaseup 96 matrix";#N/A,#N/A,FALSE,"Leaseup and Exp."}</definedName>
    <definedName name="_____a1" hidden="1">{#N/A,#N/A,FALSE,"I&amp;E";#N/A,#N/A,FALSE,"rent roll";#N/A,#N/A,FALSE,"96noleaseup";#N/A,#N/A,FALSE,"96noleaseup matrix";#N/A,#N/A,FALSE,"leaseup 96";#N/A,#N/A,FALSE,"leaseup 96 matrix";#N/A,#N/A,FALSE,"Leaseup and Exp."}</definedName>
    <definedName name="_____a1_1" hidden="1">{#N/A,#N/A,FALSE,"I&amp;E";#N/A,#N/A,FALSE,"rent roll";#N/A,#N/A,FALSE,"96noleaseup";#N/A,#N/A,FALSE,"96noleaseup matrix";#N/A,#N/A,FALSE,"leaseup 96";#N/A,#N/A,FALSE,"leaseup 96 matrix";#N/A,#N/A,FALSE,"Leaseup and Exp."}</definedName>
    <definedName name="_____aaa12" hidden="1">{#N/A,#N/A,FALSE,"I&amp;E";#N/A,#N/A,FALSE,"rent roll";#N/A,#N/A,FALSE,"96noleaseup";#N/A,#N/A,FALSE,"96noleaseup matrix";#N/A,#N/A,FALSE,"leaseup 96";#N/A,#N/A,FALSE,"leaseup 96 matrix";#N/A,#N/A,FALSE,"Leaseup and Exp."}</definedName>
    <definedName name="_____aaa12_1" hidden="1">{#N/A,#N/A,FALSE,"I&amp;E";#N/A,#N/A,FALSE,"rent roll";#N/A,#N/A,FALSE,"96noleaseup";#N/A,#N/A,FALSE,"96noleaseup matrix";#N/A,#N/A,FALSE,"leaseup 96";#N/A,#N/A,FALSE,"leaseup 96 matrix";#N/A,#N/A,FALSE,"Leaseup and Exp."}</definedName>
    <definedName name="_____J1" hidden="1">{#N/A,#N/A,FALSE,"I&amp;E";#N/A,#N/A,FALSE,"rent roll";#N/A,#N/A,FALSE,"96noleaseup";#N/A,#N/A,FALSE,"96noleaseup matrix";#N/A,#N/A,FALSE,"leaseup 96";#N/A,#N/A,FALSE,"leaseup 96 matrix";#N/A,#N/A,FALSE,"Leaseup and Exp."}</definedName>
    <definedName name="_____J1_1" hidden="1">{#N/A,#N/A,FALSE,"I&amp;E";#N/A,#N/A,FALSE,"rent roll";#N/A,#N/A,FALSE,"96noleaseup";#N/A,#N/A,FALSE,"96noleaseup matrix";#N/A,#N/A,FALSE,"leaseup 96";#N/A,#N/A,FALSE,"leaseup 96 matrix";#N/A,#N/A,FALSE,"Leaseup and Exp."}</definedName>
    <definedName name="_____j2" hidden="1">{#N/A,#N/A,FALSE,"I&amp;E";#N/A,#N/A,FALSE,"rent roll";#N/A,#N/A,FALSE,"96noleaseup";#N/A,#N/A,FALSE,"96noleaseup matrix";#N/A,#N/A,FALSE,"leaseup 96";#N/A,#N/A,FALSE,"leaseup 96 matrix";#N/A,#N/A,FALSE,"Leaseup and Exp."}</definedName>
    <definedName name="_____j2_1" hidden="1">{#N/A,#N/A,FALSE,"I&amp;E";#N/A,#N/A,FALSE,"rent roll";#N/A,#N/A,FALSE,"96noleaseup";#N/A,#N/A,FALSE,"96noleaseup matrix";#N/A,#N/A,FALSE,"leaseup 96";#N/A,#N/A,FALSE,"leaseup 96 matrix";#N/A,#N/A,FALSE,"Leaseup and Exp."}</definedName>
    <definedName name="____a1" hidden="1">{#N/A,#N/A,FALSE,"I&amp;E";#N/A,#N/A,FALSE,"rent roll";#N/A,#N/A,FALSE,"96noleaseup";#N/A,#N/A,FALSE,"96noleaseup matrix";#N/A,#N/A,FALSE,"leaseup 96";#N/A,#N/A,FALSE,"leaseup 96 matrix";#N/A,#N/A,FALSE,"Leaseup and Exp."}</definedName>
    <definedName name="____a1_1" hidden="1">{#N/A,#N/A,FALSE,"I&amp;E";#N/A,#N/A,FALSE,"rent roll";#N/A,#N/A,FALSE,"96noleaseup";#N/A,#N/A,FALSE,"96noleaseup matrix";#N/A,#N/A,FALSE,"leaseup 96";#N/A,#N/A,FALSE,"leaseup 96 matrix";#N/A,#N/A,FALSE,"Leaseup and Exp."}</definedName>
    <definedName name="____aaa12" hidden="1">{#N/A,#N/A,FALSE,"I&amp;E";#N/A,#N/A,FALSE,"rent roll";#N/A,#N/A,FALSE,"96noleaseup";#N/A,#N/A,FALSE,"96noleaseup matrix";#N/A,#N/A,FALSE,"leaseup 96";#N/A,#N/A,FALSE,"leaseup 96 matrix";#N/A,#N/A,FALSE,"Leaseup and Exp."}</definedName>
    <definedName name="____aaa12_1" hidden="1">{#N/A,#N/A,FALSE,"I&amp;E";#N/A,#N/A,FALSE,"rent roll";#N/A,#N/A,FALSE,"96noleaseup";#N/A,#N/A,FALSE,"96noleaseup matrix";#N/A,#N/A,FALSE,"leaseup 96";#N/A,#N/A,FALSE,"leaseup 96 matrix";#N/A,#N/A,FALSE,"Leaseup and Exp."}</definedName>
    <definedName name="____J1" hidden="1">{#N/A,#N/A,FALSE,"I&amp;E";#N/A,#N/A,FALSE,"rent roll";#N/A,#N/A,FALSE,"96noleaseup";#N/A,#N/A,FALSE,"96noleaseup matrix";#N/A,#N/A,FALSE,"leaseup 96";#N/A,#N/A,FALSE,"leaseup 96 matrix";#N/A,#N/A,FALSE,"Leaseup and Exp."}</definedName>
    <definedName name="____J1_1" hidden="1">{#N/A,#N/A,FALSE,"I&amp;E";#N/A,#N/A,FALSE,"rent roll";#N/A,#N/A,FALSE,"96noleaseup";#N/A,#N/A,FALSE,"96noleaseup matrix";#N/A,#N/A,FALSE,"leaseup 96";#N/A,#N/A,FALSE,"leaseup 96 matrix";#N/A,#N/A,FALSE,"Leaseup and Exp."}</definedName>
    <definedName name="____j2" hidden="1">{#N/A,#N/A,FALSE,"I&amp;E";#N/A,#N/A,FALSE,"rent roll";#N/A,#N/A,FALSE,"96noleaseup";#N/A,#N/A,FALSE,"96noleaseup matrix";#N/A,#N/A,FALSE,"leaseup 96";#N/A,#N/A,FALSE,"leaseup 96 matrix";#N/A,#N/A,FALSE,"Leaseup and Exp."}</definedName>
    <definedName name="____j2_1" hidden="1">{#N/A,#N/A,FALSE,"I&amp;E";#N/A,#N/A,FALSE,"rent roll";#N/A,#N/A,FALSE,"96noleaseup";#N/A,#N/A,FALSE,"96noleaseup matrix";#N/A,#N/A,FALSE,"leaseup 96";#N/A,#N/A,FALSE,"leaseup 96 matrix";#N/A,#N/A,FALSE,"Leaseup and Exp."}</definedName>
    <definedName name="___a1" hidden="1">{#N/A,#N/A,FALSE,"I&amp;E";#N/A,#N/A,FALSE,"rent roll";#N/A,#N/A,FALSE,"96noleaseup";#N/A,#N/A,FALSE,"96noleaseup matrix";#N/A,#N/A,FALSE,"leaseup 96";#N/A,#N/A,FALSE,"leaseup 96 matrix";#N/A,#N/A,FALSE,"Leaseup and Exp."}</definedName>
    <definedName name="___a1_1" hidden="1">{#N/A,#N/A,FALSE,"I&amp;E";#N/A,#N/A,FALSE,"rent roll";#N/A,#N/A,FALSE,"96noleaseup";#N/A,#N/A,FALSE,"96noleaseup matrix";#N/A,#N/A,FALSE,"leaseup 96";#N/A,#N/A,FALSE,"leaseup 96 matrix";#N/A,#N/A,FALSE,"Leaseup and Exp."}</definedName>
    <definedName name="___aaa12" hidden="1">{#N/A,#N/A,FALSE,"I&amp;E";#N/A,#N/A,FALSE,"rent roll";#N/A,#N/A,FALSE,"96noleaseup";#N/A,#N/A,FALSE,"96noleaseup matrix";#N/A,#N/A,FALSE,"leaseup 96";#N/A,#N/A,FALSE,"leaseup 96 matrix";#N/A,#N/A,FALSE,"Leaseup and Exp."}</definedName>
    <definedName name="___aaa12_1" hidden="1">{#N/A,#N/A,FALSE,"I&amp;E";#N/A,#N/A,FALSE,"rent roll";#N/A,#N/A,FALSE,"96noleaseup";#N/A,#N/A,FALSE,"96noleaseup matrix";#N/A,#N/A,FALSE,"leaseup 96";#N/A,#N/A,FALSE,"leaseup 96 matrix";#N/A,#N/A,FALSE,"Leaseup and Exp."}</definedName>
    <definedName name="___J1" hidden="1">{#N/A,#N/A,FALSE,"I&amp;E";#N/A,#N/A,FALSE,"rent roll";#N/A,#N/A,FALSE,"96noleaseup";#N/A,#N/A,FALSE,"96noleaseup matrix";#N/A,#N/A,FALSE,"leaseup 96";#N/A,#N/A,FALSE,"leaseup 96 matrix";#N/A,#N/A,FALSE,"Leaseup and Exp."}</definedName>
    <definedName name="___J1_1" hidden="1">{#N/A,#N/A,FALSE,"I&amp;E";#N/A,#N/A,FALSE,"rent roll";#N/A,#N/A,FALSE,"96noleaseup";#N/A,#N/A,FALSE,"96noleaseup matrix";#N/A,#N/A,FALSE,"leaseup 96";#N/A,#N/A,FALSE,"leaseup 96 matrix";#N/A,#N/A,FALSE,"Leaseup and Exp."}</definedName>
    <definedName name="___j2" hidden="1">{#N/A,#N/A,FALSE,"I&amp;E";#N/A,#N/A,FALSE,"rent roll";#N/A,#N/A,FALSE,"96noleaseup";#N/A,#N/A,FALSE,"96noleaseup matrix";#N/A,#N/A,FALSE,"leaseup 96";#N/A,#N/A,FALSE,"leaseup 96 matrix";#N/A,#N/A,FALSE,"Leaseup and Exp."}</definedName>
    <definedName name="___j2_1" hidden="1">{#N/A,#N/A,FALSE,"I&amp;E";#N/A,#N/A,FALSE,"rent roll";#N/A,#N/A,FALSE,"96noleaseup";#N/A,#N/A,FALSE,"96noleaseup matrix";#N/A,#N/A,FALSE,"leaseup 96";#N/A,#N/A,FALSE,"leaseup 96 matrix";#N/A,#N/A,FALSE,"Leaseup and Exp."}</definedName>
    <definedName name="__a1" hidden="1">{#N/A,#N/A,FALSE,"I&amp;E";#N/A,#N/A,FALSE,"rent roll";#N/A,#N/A,FALSE,"96noleaseup";#N/A,#N/A,FALSE,"96noleaseup matrix";#N/A,#N/A,FALSE,"leaseup 96";#N/A,#N/A,FALSE,"leaseup 96 matrix";#N/A,#N/A,FALSE,"Leaseup and Exp."}</definedName>
    <definedName name="__a1_1" hidden="1">{#N/A,#N/A,FALSE,"I&amp;E";#N/A,#N/A,FALSE,"rent roll";#N/A,#N/A,FALSE,"96noleaseup";#N/A,#N/A,FALSE,"96noleaseup matrix";#N/A,#N/A,FALSE,"leaseup 96";#N/A,#N/A,FALSE,"leaseup 96 matrix";#N/A,#N/A,FALSE,"Leaseup and Exp."}</definedName>
    <definedName name="__aaa12" hidden="1">{#N/A,#N/A,FALSE,"I&amp;E";#N/A,#N/A,FALSE,"rent roll";#N/A,#N/A,FALSE,"96noleaseup";#N/A,#N/A,FALSE,"96noleaseup matrix";#N/A,#N/A,FALSE,"leaseup 96";#N/A,#N/A,FALSE,"leaseup 96 matrix";#N/A,#N/A,FALSE,"Leaseup and Exp."}</definedName>
    <definedName name="__aaa12_1" hidden="1">{#N/A,#N/A,FALSE,"I&amp;E";#N/A,#N/A,FALSE,"rent roll";#N/A,#N/A,FALSE,"96noleaseup";#N/A,#N/A,FALSE,"96noleaseup matrix";#N/A,#N/A,FALSE,"leaseup 96";#N/A,#N/A,FALSE,"leaseup 96 matrix";#N/A,#N/A,FALSE,"Leaseup and Exp."}</definedName>
    <definedName name="__J1" hidden="1">{#N/A,#N/A,FALSE,"I&amp;E";#N/A,#N/A,FALSE,"rent roll";#N/A,#N/A,FALSE,"96noleaseup";#N/A,#N/A,FALSE,"96noleaseup matrix";#N/A,#N/A,FALSE,"leaseup 96";#N/A,#N/A,FALSE,"leaseup 96 matrix";#N/A,#N/A,FALSE,"Leaseup and Exp."}</definedName>
    <definedName name="__J1_1" hidden="1">{#N/A,#N/A,FALSE,"I&amp;E";#N/A,#N/A,FALSE,"rent roll";#N/A,#N/A,FALSE,"96noleaseup";#N/A,#N/A,FALSE,"96noleaseup matrix";#N/A,#N/A,FALSE,"leaseup 96";#N/A,#N/A,FALSE,"leaseup 96 matrix";#N/A,#N/A,FALSE,"Leaseup and Exp."}</definedName>
    <definedName name="__j2" hidden="1">{#N/A,#N/A,FALSE,"I&amp;E";#N/A,#N/A,FALSE,"rent roll";#N/A,#N/A,FALSE,"96noleaseup";#N/A,#N/A,FALSE,"96noleaseup matrix";#N/A,#N/A,FALSE,"leaseup 96";#N/A,#N/A,FALSE,"leaseup 96 matrix";#N/A,#N/A,FALSE,"Leaseup and Exp."}</definedName>
    <definedName name="__j2_1" hidden="1">{#N/A,#N/A,FALSE,"I&amp;E";#N/A,#N/A,FALSE,"rent roll";#N/A,#N/A,FALSE,"96noleaseup";#N/A,#N/A,FALSE,"96noleaseup matrix";#N/A,#N/A,FALSE,"leaseup 96";#N/A,#N/A,FALSE,"leaseup 96 matrix";#N/A,#N/A,FALSE,"Leaseup and Exp."}</definedName>
    <definedName name="_a1" hidden="1">{#N/A,#N/A,FALSE,"I&amp;E";#N/A,#N/A,FALSE,"rent roll";#N/A,#N/A,FALSE,"96noleaseup";#N/A,#N/A,FALSE,"96noleaseup matrix";#N/A,#N/A,FALSE,"leaseup 96";#N/A,#N/A,FALSE,"leaseup 96 matrix";#N/A,#N/A,FALSE,"Leaseup and Exp."}</definedName>
    <definedName name="_a1_1" hidden="1">{#N/A,#N/A,FALSE,"I&amp;E";#N/A,#N/A,FALSE,"rent roll";#N/A,#N/A,FALSE,"96noleaseup";#N/A,#N/A,FALSE,"96noleaseup matrix";#N/A,#N/A,FALSE,"leaseup 96";#N/A,#N/A,FALSE,"leaseup 96 matrix";#N/A,#N/A,FALSE,"Leaseup and Exp."}</definedName>
    <definedName name="_aaa12" hidden="1">{#N/A,#N/A,FALSE,"I&amp;E";#N/A,#N/A,FALSE,"rent roll";#N/A,#N/A,FALSE,"96noleaseup";#N/A,#N/A,FALSE,"96noleaseup matrix";#N/A,#N/A,FALSE,"leaseup 96";#N/A,#N/A,FALSE,"leaseup 96 matrix";#N/A,#N/A,FALSE,"Leaseup and Exp."}</definedName>
    <definedName name="_aaa12_1" hidden="1">{#N/A,#N/A,FALSE,"I&amp;E";#N/A,#N/A,FALSE,"rent roll";#N/A,#N/A,FALSE,"96noleaseup";#N/A,#N/A,FALSE,"96noleaseup matrix";#N/A,#N/A,FALSE,"leaseup 96";#N/A,#N/A,FALSE,"leaseup 96 matrix";#N/A,#N/A,FALSE,"Leaseup and Exp."}</definedName>
    <definedName name="_Fill" hidden="1">#REF!</definedName>
    <definedName name="_J1" hidden="1">{#N/A,#N/A,FALSE,"I&amp;E";#N/A,#N/A,FALSE,"rent roll";#N/A,#N/A,FALSE,"96noleaseup";#N/A,#N/A,FALSE,"96noleaseup matrix";#N/A,#N/A,FALSE,"leaseup 96";#N/A,#N/A,FALSE,"leaseup 96 matrix";#N/A,#N/A,FALSE,"Leaseup and Exp."}</definedName>
    <definedName name="_J1_1" hidden="1">{#N/A,#N/A,FALSE,"I&amp;E";#N/A,#N/A,FALSE,"rent roll";#N/A,#N/A,FALSE,"96noleaseup";#N/A,#N/A,FALSE,"96noleaseup matrix";#N/A,#N/A,FALSE,"leaseup 96";#N/A,#N/A,FALSE,"leaseup 96 matrix";#N/A,#N/A,FALSE,"Leaseup and Exp."}</definedName>
    <definedName name="_j2" hidden="1">{#N/A,#N/A,FALSE,"I&amp;E";#N/A,#N/A,FALSE,"rent roll";#N/A,#N/A,FALSE,"96noleaseup";#N/A,#N/A,FALSE,"96noleaseup matrix";#N/A,#N/A,FALSE,"leaseup 96";#N/A,#N/A,FALSE,"leaseup 96 matrix";#N/A,#N/A,FALSE,"Leaseup and Exp."}</definedName>
    <definedName name="_j2_1" hidden="1">{#N/A,#N/A,FALSE,"I&amp;E";#N/A,#N/A,FALSE,"rent roll";#N/A,#N/A,FALSE,"96noleaseup";#N/A,#N/A,FALSE,"96noleaseup matrix";#N/A,#N/A,FALSE,"leaseup 96";#N/A,#N/A,FALSE,"leaseup 96 matrix";#N/A,#N/A,FALSE,"Leaseup and Exp."}</definedName>
    <definedName name="_JJ1" hidden="1">{#N/A,#N/A,FALSE,"I&amp;E";#N/A,#N/A,FALSE,"rent roll";#N/A,#N/A,FALSE,"96noleaseup";#N/A,#N/A,FALSE,"96noleaseup matrix";#N/A,#N/A,FALSE,"leaseup 96";#N/A,#N/A,FALSE,"leaseup 96 matrix";#N/A,#N/A,FALSE,"Leaseup and Exp."}</definedName>
    <definedName name="_Key1" hidden="1">#REF!</definedName>
    <definedName name="_Order1" hidden="1">0</definedName>
    <definedName name="_Order2" hidden="1">255</definedName>
    <definedName name="_Sort" hidden="1">#REF!</definedName>
    <definedName name="_Table1_In1" hidden="1">#REF!</definedName>
    <definedName name="_Table1_In2" hidden="1">#REF!</definedName>
    <definedName name="_Table2_In1" hidden="1">#REF!</definedName>
    <definedName name="_Table2_In2" hidden="1">#REF!</definedName>
    <definedName name="_Table2_Out" hidden="1">#REF!</definedName>
    <definedName name="_tea2" hidden="1">#REF!</definedName>
    <definedName name="a" hidden="1">{#N/A,#N/A,FALSE,"I&amp;E";#N/A,#N/A,FALSE,"rent roll";#N/A,#N/A,FALSE,"96noleaseup";#N/A,#N/A,FALSE,"96noleaseup matrix";#N/A,#N/A,FALSE,"leaseup 96";#N/A,#N/A,FALSE,"leaseup 96 matrix";#N/A,#N/A,FALSE,"Leaseup and Exp."}</definedName>
    <definedName name="a_1" hidden="1">{#N/A,#N/A,FALSE,"I&amp;E";#N/A,#N/A,FALSE,"rent roll";#N/A,#N/A,FALSE,"96noleaseup";#N/A,#N/A,FALSE,"96noleaseup matrix";#N/A,#N/A,FALSE,"leaseup 96";#N/A,#N/A,FALSE,"leaseup 96 matrix";#N/A,#N/A,FALSE,"Leaseup and Exp."}</definedName>
    <definedName name="aa" hidden="1">{#N/A,#N/A,FALSE,"I&amp;E";#N/A,#N/A,FALSE,"rent roll";#N/A,#N/A,FALSE,"96noleaseup";#N/A,#N/A,FALSE,"96noleaseup matrix";#N/A,#N/A,FALSE,"leaseup 96";#N/A,#N/A,FALSE,"leaseup 96 matrix";#N/A,#N/A,FALSE,"Leaseup and Exp."}</definedName>
    <definedName name="aa_1" hidden="1">{#N/A,#N/A,FALSE,"I&amp;E";#N/A,#N/A,FALSE,"rent roll";#N/A,#N/A,FALSE,"96noleaseup";#N/A,#N/A,FALSE,"96noleaseup matrix";#N/A,#N/A,FALSE,"leaseup 96";#N/A,#N/A,FALSE,"leaseup 96 matrix";#N/A,#N/A,FALSE,"Leaseup and Exp."}</definedName>
    <definedName name="active" hidden="1">#REF!</definedName>
    <definedName name="active2" hidden="1">#REF!</definedName>
    <definedName name="adfasdf" hidden="1">{#N/A,#N/A,FALSE,"I&amp;E";#N/A,#N/A,FALSE,"rent roll";#N/A,#N/A,FALSE,"96noleaseup";#N/A,#N/A,FALSE,"96noleaseup matrix";#N/A,#N/A,FALSE,"leaseup 96";#N/A,#N/A,FALSE,"leaseup 96 matrix";#N/A,#N/A,FALSE,"Leaseup and Exp."}</definedName>
    <definedName name="adfasdf_1" hidden="1">{#N/A,#N/A,FALSE,"I&amp;E";#N/A,#N/A,FALSE,"rent roll";#N/A,#N/A,FALSE,"96noleaseup";#N/A,#N/A,FALSE,"96noleaseup matrix";#N/A,#N/A,FALSE,"leaseup 96";#N/A,#N/A,FALSE,"leaseup 96 matrix";#N/A,#N/A,FALSE,"Leaseup and Exp."}</definedName>
    <definedName name="adsfsdf" hidden="1">{#N/A,#N/A,FALSE,"I&amp;E";#N/A,#N/A,FALSE,"rent roll";#N/A,#N/A,FALSE,"96noleaseup";#N/A,#N/A,FALSE,"96noleaseup matrix";#N/A,#N/A,FALSE,"leaseup 96";#N/A,#N/A,FALSE,"leaseup 96 matrix";#N/A,#N/A,FALSE,"Leaseup and Exp."}</definedName>
    <definedName name="adsfsdf_1" hidden="1">{#N/A,#N/A,FALSE,"I&amp;E";#N/A,#N/A,FALSE,"rent roll";#N/A,#N/A,FALSE,"96noleaseup";#N/A,#N/A,FALSE,"96noleaseup matrix";#N/A,#N/A,FALSE,"leaseup 96";#N/A,#N/A,FALSE,"leaseup 96 matrix";#N/A,#N/A,FALSE,"Leaseup and Exp."}</definedName>
    <definedName name="afdf" hidden="1">{"Summary",#N/A,TRUE,"Fin. Summary";"Payroll",#N/A,TRUE,"Staffing";"Personnel Phasing",#N/A,TRUE,"Staffing"}</definedName>
    <definedName name="afdf_1" hidden="1">{"Summary",#N/A,TRUE,"Fin. Summary";"Payroll",#N/A,TRUE,"Staffing";"Personnel Phasing",#N/A,TRUE,"Staffing"}</definedName>
    <definedName name="asdwq" hidden="1">{#N/A,#N/A,FALSE,"I&amp;E";#N/A,#N/A,FALSE,"rent roll";#N/A,#N/A,FALSE,"96noleaseup";#N/A,#N/A,FALSE,"96noleaseup matrix";#N/A,#N/A,FALSE,"leaseup 96";#N/A,#N/A,FALSE,"leaseup 96 matrix";#N/A,#N/A,FALSE,"Leaseup and Exp."}</definedName>
    <definedName name="asdwq_1" hidden="1">{#N/A,#N/A,FALSE,"I&amp;E";#N/A,#N/A,FALSE,"rent roll";#N/A,#N/A,FALSE,"96noleaseup";#N/A,#N/A,FALSE,"96noleaseup matrix";#N/A,#N/A,FALSE,"leaseup 96";#N/A,#N/A,FALSE,"leaseup 96 matrix";#N/A,#N/A,FALSE,"Leaseup and Exp."}</definedName>
    <definedName name="av" hidden="1">{#N/A,#N/A,FALSE,"I&amp;E";#N/A,#N/A,FALSE,"rent roll";#N/A,#N/A,FALSE,"96noleaseup";#N/A,#N/A,FALSE,"96noleaseup matrix";#N/A,#N/A,FALSE,"leaseup 96";#N/A,#N/A,FALSE,"leaseup 96 matrix";#N/A,#N/A,FALSE,"Leaseup and Exp."}</definedName>
    <definedName name="av_1" hidden="1">{#N/A,#N/A,FALSE,"I&amp;E";#N/A,#N/A,FALSE,"rent roll";#N/A,#N/A,FALSE,"96noleaseup";#N/A,#N/A,FALSE,"96noleaseup matrix";#N/A,#N/A,FALSE,"leaseup 96";#N/A,#N/A,FALSE,"leaseup 96 matrix";#N/A,#N/A,FALSE,"Leaseup and Exp."}</definedName>
    <definedName name="aw" hidden="1">{#N/A,#N/A,FALSE,"I&amp;E";#N/A,#N/A,FALSE,"rent roll";#N/A,#N/A,FALSE,"96noleaseup";#N/A,#N/A,FALSE,"96noleaseup matrix";#N/A,#N/A,FALSE,"leaseup 96";#N/A,#N/A,FALSE,"leaseup 96 matrix";#N/A,#N/A,FALSE,"Leaseup and Exp."}</definedName>
    <definedName name="aw_1" hidden="1">{#N/A,#N/A,FALSE,"I&amp;E";#N/A,#N/A,FALSE,"rent roll";#N/A,#N/A,FALSE,"96noleaseup";#N/A,#N/A,FALSE,"96noleaseup matrix";#N/A,#N/A,FALSE,"leaseup 96";#N/A,#N/A,FALSE,"leaseup 96 matrix";#N/A,#N/A,FALSE,"Leaseup and Exp."}</definedName>
    <definedName name="b" hidden="1">{#N/A,#N/A,FALSE,"I&amp;E";#N/A,#N/A,FALSE,"rent roll";#N/A,#N/A,FALSE,"96noleaseup";#N/A,#N/A,FALSE,"96noleaseup matrix";#N/A,#N/A,FALSE,"leaseup 96";#N/A,#N/A,FALSE,"leaseup 96 matrix";#N/A,#N/A,FALSE,"Leaseup and Exp."}</definedName>
    <definedName name="bb" hidden="1">{#N/A,#N/A,FALSE,"I&amp;E";#N/A,#N/A,FALSE,"rent roll";#N/A,#N/A,FALSE,"96noleaseup";#N/A,#N/A,FALSE,"96noleaseup matrix";#N/A,#N/A,FALSE,"leaseup 96";#N/A,#N/A,FALSE,"leaseup 96 matrix";#N/A,#N/A,FALSE,"Leaseup and Exp."}</definedName>
    <definedName name="bewrt" hidden="1">{#N/A,#N/A,FALSE,"I&amp;E";#N/A,#N/A,FALSE,"rent roll";#N/A,#N/A,FALSE,"96noleaseup";#N/A,#N/A,FALSE,"96noleaseup matrix";#N/A,#N/A,FALSE,"leaseup 96";#N/A,#N/A,FALSE,"leaseup 96 matrix";#N/A,#N/A,FALSE,"Leaseup and Exp."}</definedName>
    <definedName name="bewrt_1" hidden="1">{#N/A,#N/A,FALSE,"I&amp;E";#N/A,#N/A,FALSE,"rent roll";#N/A,#N/A,FALSE,"96noleaseup";#N/A,#N/A,FALSE,"96noleaseup matrix";#N/A,#N/A,FALSE,"leaseup 96";#N/A,#N/A,FALSE,"leaseup 96 matrix";#N/A,#N/A,FALSE,"Leaseup and Exp."}</definedName>
    <definedName name="brewtb" hidden="1">{#N/A,#N/A,FALSE,"I&amp;E";#N/A,#N/A,FALSE,"rent roll";#N/A,#N/A,FALSE,"96noleaseup";#N/A,#N/A,FALSE,"96noleaseup matrix";#N/A,#N/A,FALSE,"leaseup 96";#N/A,#N/A,FALSE,"leaseup 96 matrix";#N/A,#N/A,FALSE,"Leaseup and Exp."}</definedName>
    <definedName name="brewtb_1" hidden="1">{#N/A,#N/A,FALSE,"I&amp;E";#N/A,#N/A,FALSE,"rent roll";#N/A,#N/A,FALSE,"96noleaseup";#N/A,#N/A,FALSE,"96noleaseup matrix";#N/A,#N/A,FALSE,"leaseup 96";#N/A,#N/A,FALSE,"leaseup 96 matrix";#N/A,#N/A,FALSE,"Leaseup and Exp."}</definedName>
    <definedName name="btewrt" hidden="1">{#N/A,#N/A,FALSE,"I&amp;E";#N/A,#N/A,FALSE,"rent roll";#N/A,#N/A,FALSE,"96noleaseup";#N/A,#N/A,FALSE,"96noleaseup matrix";#N/A,#N/A,FALSE,"leaseup 96";#N/A,#N/A,FALSE,"leaseup 96 matrix";#N/A,#N/A,FALSE,"Leaseup and Exp."}</definedName>
    <definedName name="btewrt_1" hidden="1">{#N/A,#N/A,FALSE,"I&amp;E";#N/A,#N/A,FALSE,"rent roll";#N/A,#N/A,FALSE,"96noleaseup";#N/A,#N/A,FALSE,"96noleaseup matrix";#N/A,#N/A,FALSE,"leaseup 96";#N/A,#N/A,FALSE,"leaseup 96 matrix";#N/A,#N/A,FALSE,"Leaseup and Exp."}</definedName>
    <definedName name="bvcbx" hidden="1">{#N/A,#N/A,FALSE,"I&amp;E";#N/A,#N/A,FALSE,"rent roll";#N/A,#N/A,FALSE,"96noleaseup";#N/A,#N/A,FALSE,"96noleaseup matrix";#N/A,#N/A,FALSE,"leaseup 96";#N/A,#N/A,FALSE,"leaseup 96 matrix";#N/A,#N/A,FALSE,"Leaseup and Exp."}</definedName>
    <definedName name="bvcbx_1" hidden="1">{#N/A,#N/A,FALSE,"I&amp;E";#N/A,#N/A,FALSE,"rent roll";#N/A,#N/A,FALSE,"96noleaseup";#N/A,#N/A,FALSE,"96noleaseup matrix";#N/A,#N/A,FALSE,"leaseup 96";#N/A,#N/A,FALSE,"leaseup 96 matrix";#N/A,#N/A,FALSE,"Leaseup and Exp."}</definedName>
    <definedName name="bwert" hidden="1">{#N/A,#N/A,FALSE,"I&amp;E";#N/A,#N/A,FALSE,"rent roll";#N/A,#N/A,FALSE,"96noleaseup";#N/A,#N/A,FALSE,"96noleaseup matrix";#N/A,#N/A,FALSE,"leaseup 96";#N/A,#N/A,FALSE,"leaseup 96 matrix";#N/A,#N/A,FALSE,"Leaseup and Exp."}</definedName>
    <definedName name="bwert_1" hidden="1">{#N/A,#N/A,FALSE,"I&amp;E";#N/A,#N/A,FALSE,"rent roll";#N/A,#N/A,FALSE,"96noleaseup";#N/A,#N/A,FALSE,"96noleaseup matrix";#N/A,#N/A,FALSE,"leaseup 96";#N/A,#N/A,FALSE,"leaseup 96 matrix";#N/A,#N/A,FALSE,"Leaseup and Exp."}</definedName>
    <definedName name="cancel" hidden="1">{#N/A,#N/A,FALSE,"I&amp;E";#N/A,#N/A,FALSE,"rent roll";#N/A,#N/A,FALSE,"96noleaseup";#N/A,#N/A,FALSE,"96noleaseup matrix";#N/A,#N/A,FALSE,"leaseup 96";#N/A,#N/A,FALSE,"leaseup 96 matrix";#N/A,#N/A,FALSE,"Leaseup and Exp."}</definedName>
    <definedName name="cancel_1" hidden="1">{#N/A,#N/A,FALSE,"I&amp;E";#N/A,#N/A,FALSE,"rent roll";#N/A,#N/A,FALSE,"96noleaseup";#N/A,#N/A,FALSE,"96noleaseup matrix";#N/A,#N/A,FALSE,"leaseup 96";#N/A,#N/A,FALSE,"leaseup 96 matrix";#N/A,#N/A,FALSE,"Leaseup and Exp."}</definedName>
    <definedName name="cbxb" hidden="1">{#N/A,#N/A,FALSE,"I&amp;E";#N/A,#N/A,FALSE,"rent roll";#N/A,#N/A,FALSE,"96noleaseup";#N/A,#N/A,FALSE,"96noleaseup matrix";#N/A,#N/A,FALSE,"leaseup 96";#N/A,#N/A,FALSE,"leaseup 96 matrix";#N/A,#N/A,FALSE,"Leaseup and Exp."}</definedName>
    <definedName name="cbxb_1" hidden="1">{#N/A,#N/A,FALSE,"I&amp;E";#N/A,#N/A,FALSE,"rent roll";#N/A,#N/A,FALSE,"96noleaseup";#N/A,#N/A,FALSE,"96noleaseup matrix";#N/A,#N/A,FALSE,"leaseup 96";#N/A,#N/A,FALSE,"leaseup 96 matrix";#N/A,#N/A,FALSE,"Leaseup and Exp."}</definedName>
    <definedName name="Chargebacks2" hidden="1">{#N/A,#N/A,TRUE,"Summary";#N/A,#N/A,TRUE,"Large Rev";#N/A,#N/A,TRUE,"Mid Rev";#N/A,#N/A,TRUE,"Small Rev";#N/A,#N/A,TRUE,"Stud Rev";#N/A,#N/A,TRUE,"Salaries";#N/A,#N/A,TRUE,"Adm &amp; Fin"}</definedName>
    <definedName name="Chargebacks2_1" hidden="1">{#N/A,#N/A,TRUE,"Summary";#N/A,#N/A,TRUE,"Large Rev";#N/A,#N/A,TRUE,"Mid Rev";#N/A,#N/A,TRUE,"Small Rev";#N/A,#N/A,TRUE,"Stud Rev";#N/A,#N/A,TRUE,"Salaries";#N/A,#N/A,TRUE,"Adm &amp; Fin"}</definedName>
    <definedName name="Copy" hidden="1">#REF!</definedName>
    <definedName name="cxvz" hidden="1">{#N/A,#N/A,FALSE,"I&amp;E";#N/A,#N/A,FALSE,"rent roll";#N/A,#N/A,FALSE,"96noleaseup";#N/A,#N/A,FALSE,"96noleaseup matrix";#N/A,#N/A,FALSE,"leaseup 96";#N/A,#N/A,FALSE,"leaseup 96 matrix";#N/A,#N/A,FALSE,"Leaseup and Exp."}</definedName>
    <definedName name="cxvz_1" hidden="1">{#N/A,#N/A,FALSE,"I&amp;E";#N/A,#N/A,FALSE,"rent roll";#N/A,#N/A,FALSE,"96noleaseup";#N/A,#N/A,FALSE,"96noleaseup matrix";#N/A,#N/A,FALSE,"leaseup 96";#N/A,#N/A,FALSE,"leaseup 96 matrix";#N/A,#N/A,FALSE,"Leaseup and Exp."}</definedName>
    <definedName name="d" hidden="1">{#N/A,#N/A,FALSE,"I&amp;E";#N/A,#N/A,FALSE,"rent roll";#N/A,#N/A,FALSE,"96noleaseup";#N/A,#N/A,FALSE,"96noleaseup matrix";#N/A,#N/A,FALSE,"leaseup 96";#N/A,#N/A,FALSE,"leaseup 96 matrix";#N/A,#N/A,FALSE,"Leaseup and Exp."}</definedName>
    <definedName name="d_1" hidden="1">{#N/A,#N/A,FALSE,"I&amp;E";#N/A,#N/A,FALSE,"rent roll";#N/A,#N/A,FALSE,"96noleaseup";#N/A,#N/A,FALSE,"96noleaseup matrix";#N/A,#N/A,FALSE,"leaseup 96";#N/A,#N/A,FALSE,"leaseup 96 matrix";#N/A,#N/A,FALSE,"Leaseup and Exp."}</definedName>
    <definedName name="d1wde" hidden="1">{#N/A,#N/A,FALSE,"I&amp;E";#N/A,#N/A,FALSE,"rent roll";#N/A,#N/A,FALSE,"96noleaseup";#N/A,#N/A,FALSE,"96noleaseup matrix";#N/A,#N/A,FALSE,"leaseup 96";#N/A,#N/A,FALSE,"leaseup 96 matrix";#N/A,#N/A,FALSE,"Leaseup and Exp."}</definedName>
    <definedName name="d1wde_1" hidden="1">{#N/A,#N/A,FALSE,"I&amp;E";#N/A,#N/A,FALSE,"rent roll";#N/A,#N/A,FALSE,"96noleaseup";#N/A,#N/A,FALSE,"96noleaseup matrix";#N/A,#N/A,FALSE,"leaseup 96";#N/A,#N/A,FALSE,"leaseup 96 matrix";#N/A,#N/A,FALSE,"Leaseup and Exp."}</definedName>
    <definedName name="da" hidden="1">{#N/A,#N/A,FALSE,"I&amp;E";#N/A,#N/A,FALSE,"rent roll";#N/A,#N/A,FALSE,"96noleaseup";#N/A,#N/A,FALSE,"96noleaseup matrix";#N/A,#N/A,FALSE,"leaseup 96";#N/A,#N/A,FALSE,"leaseup 96 matrix";#N/A,#N/A,FALSE,"Leaseup and Exp."}</definedName>
    <definedName name="da_1" hidden="1">{#N/A,#N/A,FALSE,"I&amp;E";#N/A,#N/A,FALSE,"rent roll";#N/A,#N/A,FALSE,"96noleaseup";#N/A,#N/A,FALSE,"96noleaseup matrix";#N/A,#N/A,FALSE,"leaseup 96";#N/A,#N/A,FALSE,"leaseup 96 matrix";#N/A,#N/A,FALSE,"Leaseup and Exp."}</definedName>
    <definedName name="dafsdfd" hidden="1">{#N/A,#N/A,TRUE,"Summary";#N/A,#N/A,TRUE,"Large Rev";#N/A,#N/A,TRUE,"Mid Rev";#N/A,#N/A,TRUE,"Small Rev";#N/A,#N/A,TRUE,"Stud Rev";#N/A,#N/A,TRUE,"Salaries";#N/A,#N/A,TRUE,"Adm &amp; Fin"}</definedName>
    <definedName name="dafsdfd_1" hidden="1">{#N/A,#N/A,TRUE,"Summary";#N/A,#N/A,TRUE,"Large Rev";#N/A,#N/A,TRUE,"Mid Rev";#N/A,#N/A,TRUE,"Small Rev";#N/A,#N/A,TRUE,"Stud Rev";#N/A,#N/A,TRUE,"Salaries";#N/A,#N/A,TRUE,"Adm &amp; Fin"}</definedName>
    <definedName name="dasfdf" hidden="1">{#N/A,#N/A,FALSE,"I&amp;E";#N/A,#N/A,FALSE,"rent roll";#N/A,#N/A,FALSE,"96noleaseup";#N/A,#N/A,FALSE,"96noleaseup matrix";#N/A,#N/A,FALSE,"leaseup 96";#N/A,#N/A,FALSE,"leaseup 96 matrix";#N/A,#N/A,FALSE,"Leaseup and Exp."}</definedName>
    <definedName name="dasfdf_1" hidden="1">{#N/A,#N/A,FALSE,"I&amp;E";#N/A,#N/A,FALSE,"rent roll";#N/A,#N/A,FALSE,"96noleaseup";#N/A,#N/A,FALSE,"96noleaseup matrix";#N/A,#N/A,FALSE,"leaseup 96";#N/A,#N/A,FALSE,"leaseup 96 matrix";#N/A,#N/A,FALSE,"Leaseup and Exp."}</definedName>
    <definedName name="dddd" hidden="1">#REF!</definedName>
    <definedName name="ddt" hidden="1">{#N/A,#N/A,FALSE,"I&amp;E";#N/A,#N/A,FALSE,"rent roll";#N/A,#N/A,FALSE,"96noleaseup";#N/A,#N/A,FALSE,"96noleaseup matrix";#N/A,#N/A,FALSE,"leaseup 96";#N/A,#N/A,FALSE,"leaseup 96 matrix";#N/A,#N/A,FALSE,"Leaseup and Exp."}</definedName>
    <definedName name="ddt_1" hidden="1">{#N/A,#N/A,FALSE,"I&amp;E";#N/A,#N/A,FALSE,"rent roll";#N/A,#N/A,FALSE,"96noleaseup";#N/A,#N/A,FALSE,"96noleaseup matrix";#N/A,#N/A,FALSE,"leaseup 96";#N/A,#N/A,FALSE,"leaseup 96 matrix";#N/A,#N/A,FALSE,"Leaseup and Exp."}</definedName>
    <definedName name="dfasdf" hidden="1">{#N/A,#N/A,TRUE,"Summary";#N/A,#N/A,TRUE,"Large Rev";#N/A,#N/A,TRUE,"Mid Rev";#N/A,#N/A,TRUE,"Small Rev";#N/A,#N/A,TRUE,"Stud Rev";#N/A,#N/A,TRUE,"Salaries";#N/A,#N/A,TRUE,"Adm &amp; Fin"}</definedName>
    <definedName name="dfasdf_1" hidden="1">{#N/A,#N/A,TRUE,"Summary";#N/A,#N/A,TRUE,"Large Rev";#N/A,#N/A,TRUE,"Mid Rev";#N/A,#N/A,TRUE,"Small Rev";#N/A,#N/A,TRUE,"Stud Rev";#N/A,#N/A,TRUE,"Salaries";#N/A,#N/A,TRUE,"Adm &amp; Fin"}</definedName>
    <definedName name="dfasdfd" hidden="1">{#N/A,#N/A,FALSE,"I&amp;E";#N/A,#N/A,FALSE,"rent roll";#N/A,#N/A,FALSE,"96noleaseup";#N/A,#N/A,FALSE,"96noleaseup matrix";#N/A,#N/A,FALSE,"leaseup 96";#N/A,#N/A,FALSE,"leaseup 96 matrix";#N/A,#N/A,FALSE,"Leaseup and Exp."}</definedName>
    <definedName name="dfasdfd_1" hidden="1">{#N/A,#N/A,FALSE,"I&amp;E";#N/A,#N/A,FALSE,"rent roll";#N/A,#N/A,FALSE,"96noleaseup";#N/A,#N/A,FALSE,"96noleaseup matrix";#N/A,#N/A,FALSE,"leaseup 96";#N/A,#N/A,FALSE,"leaseup 96 matrix";#N/A,#N/A,FALSE,"Leaseup and Exp."}</definedName>
    <definedName name="dfgj" hidden="1">{#N/A,#N/A,TRUE,"Summary";#N/A,#N/A,TRUE,"Large Rev";#N/A,#N/A,TRUE,"Mid Rev";#N/A,#N/A,TRUE,"Small Rev";#N/A,#N/A,TRUE,"Stud Rev";#N/A,#N/A,TRUE,"Salaries";#N/A,#N/A,TRUE,"Adm &amp; Fin"}</definedName>
    <definedName name="dfgj_1" hidden="1">{#N/A,#N/A,TRUE,"Summary";#N/A,#N/A,TRUE,"Large Rev";#N/A,#N/A,TRUE,"Mid Rev";#N/A,#N/A,TRUE,"Small Rev";#N/A,#N/A,TRUE,"Stud Rev";#N/A,#N/A,TRUE,"Salaries";#N/A,#N/A,TRUE,"Adm &amp; Fin"}</definedName>
    <definedName name="dfhgdfh" hidden="1">{#N/A,#N/A,FALSE,"I&amp;E";#N/A,#N/A,FALSE,"rent roll";#N/A,#N/A,FALSE,"96noleaseup";#N/A,#N/A,FALSE,"96noleaseup matrix";#N/A,#N/A,FALSE,"leaseup 96";#N/A,#N/A,FALSE,"leaseup 96 matrix";#N/A,#N/A,FALSE,"Leaseup and Exp."}</definedName>
    <definedName name="dfhgdfh_1" hidden="1">{#N/A,#N/A,FALSE,"I&amp;E";#N/A,#N/A,FALSE,"rent roll";#N/A,#N/A,FALSE,"96noleaseup";#N/A,#N/A,FALSE,"96noleaseup matrix";#N/A,#N/A,FALSE,"leaseup 96";#N/A,#N/A,FALSE,"leaseup 96 matrix";#N/A,#N/A,FALSE,"Leaseup and Exp."}</definedName>
    <definedName name="dfsa" hidden="1">{#N/A,#N/A,FALSE,"I&amp;E";#N/A,#N/A,FALSE,"rent roll";#N/A,#N/A,FALSE,"96noleaseup";#N/A,#N/A,FALSE,"96noleaseup matrix";#N/A,#N/A,FALSE,"leaseup 96";#N/A,#N/A,FALSE,"leaseup 96 matrix";#N/A,#N/A,FALSE,"Leaseup and Exp."}</definedName>
    <definedName name="dfsa_1" hidden="1">{#N/A,#N/A,FALSE,"I&amp;E";#N/A,#N/A,FALSE,"rent roll";#N/A,#N/A,FALSE,"96noleaseup";#N/A,#N/A,FALSE,"96noleaseup matrix";#N/A,#N/A,FALSE,"leaseup 96";#N/A,#N/A,FALSE,"leaseup 96 matrix";#N/A,#N/A,FALSE,"Leaseup and Exp."}</definedName>
    <definedName name="dfsadf" hidden="1">{#N/A,#N/A,FALSE,"I&amp;E";#N/A,#N/A,FALSE,"rent roll";#N/A,#N/A,FALSE,"96noleaseup";#N/A,#N/A,FALSE,"96noleaseup matrix";#N/A,#N/A,FALSE,"leaseup 96";#N/A,#N/A,FALSE,"leaseup 96 matrix";#N/A,#N/A,FALSE,"Leaseup and Exp."}</definedName>
    <definedName name="dfsadf_1" hidden="1">{#N/A,#N/A,FALSE,"I&amp;E";#N/A,#N/A,FALSE,"rent roll";#N/A,#N/A,FALSE,"96noleaseup";#N/A,#N/A,FALSE,"96noleaseup matrix";#N/A,#N/A,FALSE,"leaseup 96";#N/A,#N/A,FALSE,"leaseup 96 matrix";#N/A,#N/A,FALSE,"Leaseup and Exp."}</definedName>
    <definedName name="dfshj" hidden="1">{#N/A,#N/A,FALSE,"I&amp;E";#N/A,#N/A,FALSE,"rent roll";#N/A,#N/A,FALSE,"96noleaseup";#N/A,#N/A,FALSE,"96noleaseup matrix";#N/A,#N/A,FALSE,"leaseup 96";#N/A,#N/A,FALSE,"leaseup 96 matrix";#N/A,#N/A,FALSE,"Leaseup and Exp."}</definedName>
    <definedName name="dfshj_1" hidden="1">{#N/A,#N/A,FALSE,"I&amp;E";#N/A,#N/A,FALSE,"rent roll";#N/A,#N/A,FALSE,"96noleaseup";#N/A,#N/A,FALSE,"96noleaseup matrix";#N/A,#N/A,FALSE,"leaseup 96";#N/A,#N/A,FALSE,"leaseup 96 matrix";#N/A,#N/A,FALSE,"Leaseup and Exp."}</definedName>
    <definedName name="dgdgfjfh" hidden="1">{"Summary",#N/A,TRUE,"Fin. Summary";"Payroll",#N/A,TRUE,"Staffing";"Personnel Phasing",#N/A,TRUE,"Staffing"}</definedName>
    <definedName name="dgdgfjfh_1" hidden="1">{"Summary",#N/A,TRUE,"Fin. Summary";"Payroll",#N/A,TRUE,"Staffing";"Personnel Phasing",#N/A,TRUE,"Staffing"}</definedName>
    <definedName name="dgfhd" hidden="1">{#N/A,#N/A,FALSE,"I&amp;E";#N/A,#N/A,FALSE,"rent roll";#N/A,#N/A,FALSE,"96noleaseup";#N/A,#N/A,FALSE,"96noleaseup matrix";#N/A,#N/A,FALSE,"leaseup 96";#N/A,#N/A,FALSE,"leaseup 96 matrix";#N/A,#N/A,FALSE,"Leaseup and Exp."}</definedName>
    <definedName name="dgfhd_1" hidden="1">{#N/A,#N/A,FALSE,"I&amp;E";#N/A,#N/A,FALSE,"rent roll";#N/A,#N/A,FALSE,"96noleaseup";#N/A,#N/A,FALSE,"96noleaseup matrix";#N/A,#N/A,FALSE,"leaseup 96";#N/A,#N/A,FALSE,"leaseup 96 matrix";#N/A,#N/A,FALSE,"Leaseup and Exp."}</definedName>
    <definedName name="dgjd" hidden="1">{#N/A,#N/A,FALSE,"I&amp;E";#N/A,#N/A,FALSE,"rent roll";#N/A,#N/A,FALSE,"96noleaseup";#N/A,#N/A,FALSE,"96noleaseup matrix";#N/A,#N/A,FALSE,"leaseup 96";#N/A,#N/A,FALSE,"leaseup 96 matrix";#N/A,#N/A,FALSE,"Leaseup and Exp."}</definedName>
    <definedName name="dgjd_1" hidden="1">{#N/A,#N/A,FALSE,"I&amp;E";#N/A,#N/A,FALSE,"rent roll";#N/A,#N/A,FALSE,"96noleaseup";#N/A,#N/A,FALSE,"96noleaseup matrix";#N/A,#N/A,FALSE,"leaseup 96";#N/A,#N/A,FALSE,"leaseup 96 matrix";#N/A,#N/A,FALSE,"Leaseup and Exp."}</definedName>
    <definedName name="dgjhdjddd" hidden="1">{#N/A,#N/A,FALSE,"I&amp;E";#N/A,#N/A,FALSE,"rent roll";#N/A,#N/A,FALSE,"96noleaseup";#N/A,#N/A,FALSE,"96noleaseup matrix";#N/A,#N/A,FALSE,"leaseup 96";#N/A,#N/A,FALSE,"leaseup 96 matrix";#N/A,#N/A,FALSE,"Leaseup and Exp."}</definedName>
    <definedName name="dgjhdjddd_1" hidden="1">{#N/A,#N/A,FALSE,"I&amp;E";#N/A,#N/A,FALSE,"rent roll";#N/A,#N/A,FALSE,"96noleaseup";#N/A,#N/A,FALSE,"96noleaseup matrix";#N/A,#N/A,FALSE,"leaseup 96";#N/A,#N/A,FALSE,"leaseup 96 matrix";#N/A,#N/A,FALSE,"Leaseup and Exp."}</definedName>
    <definedName name="dhsfh" hidden="1">{#N/A,#N/A,FALSE,"I&amp;E";#N/A,#N/A,FALSE,"rent roll";#N/A,#N/A,FALSE,"96noleaseup";#N/A,#N/A,FALSE,"96noleaseup matrix";#N/A,#N/A,FALSE,"leaseup 96";#N/A,#N/A,FALSE,"leaseup 96 matrix";#N/A,#N/A,FALSE,"Leaseup and Exp."}</definedName>
    <definedName name="dhsfh_1" hidden="1">{#N/A,#N/A,FALSE,"I&amp;E";#N/A,#N/A,FALSE,"rent roll";#N/A,#N/A,FALSE,"96noleaseup";#N/A,#N/A,FALSE,"96noleaseup matrix";#N/A,#N/A,FALSE,"leaseup 96";#N/A,#N/A,FALSE,"leaseup 96 matrix";#N/A,#N/A,FALSE,"Leaseup and Exp."}</definedName>
    <definedName name="djfjg" hidden="1">{#N/A,#N/A,FALSE,"I&amp;E";#N/A,#N/A,FALSE,"rent roll";#N/A,#N/A,FALSE,"96noleaseup";#N/A,#N/A,FALSE,"96noleaseup matrix";#N/A,#N/A,FALSE,"leaseup 96";#N/A,#N/A,FALSE,"leaseup 96 matrix";#N/A,#N/A,FALSE,"Leaseup and Exp."}</definedName>
    <definedName name="djfjg_1" hidden="1">{#N/A,#N/A,FALSE,"I&amp;E";#N/A,#N/A,FALSE,"rent roll";#N/A,#N/A,FALSE,"96noleaseup";#N/A,#N/A,FALSE,"96noleaseup matrix";#N/A,#N/A,FALSE,"leaseup 96";#N/A,#N/A,FALSE,"leaseup 96 matrix";#N/A,#N/A,FALSE,"Leaseup and Exp."}</definedName>
    <definedName name="djgfd" hidden="1">{"Summary",#N/A,TRUE,"Fin. Summary";"Payroll",#N/A,TRUE,"Staffing";"Personnel Phasing",#N/A,TRUE,"Staffing"}</definedName>
    <definedName name="djgfd_1" hidden="1">{"Summary",#N/A,TRUE,"Fin. Summary";"Payroll",#N/A,TRUE,"Staffing";"Personnel Phasing",#N/A,TRUE,"Staffing"}</definedName>
    <definedName name="djrd" hidden="1">{#N/A,#N/A,FALSE,"I&amp;E";#N/A,#N/A,FALSE,"rent roll";#N/A,#N/A,FALSE,"96noleaseup";#N/A,#N/A,FALSE,"96noleaseup matrix";#N/A,#N/A,FALSE,"leaseup 96";#N/A,#N/A,FALSE,"leaseup 96 matrix";#N/A,#N/A,FALSE,"Leaseup and Exp."}</definedName>
    <definedName name="djrd_1" hidden="1">{#N/A,#N/A,FALSE,"I&amp;E";#N/A,#N/A,FALSE,"rent roll";#N/A,#N/A,FALSE,"96noleaseup";#N/A,#N/A,FALSE,"96noleaseup matrix";#N/A,#N/A,FALSE,"leaseup 96";#N/A,#N/A,FALSE,"leaseup 96 matrix";#N/A,#N/A,FALSE,"Leaseup and Exp."}</definedName>
    <definedName name="dmytrd" hidden="1">{#N/A,#N/A,FALSE,"I&amp;E";#N/A,#N/A,FALSE,"rent roll";#N/A,#N/A,FALSE,"96noleaseup";#N/A,#N/A,FALSE,"96noleaseup matrix";#N/A,#N/A,FALSE,"leaseup 96";#N/A,#N/A,FALSE,"leaseup 96 matrix";#N/A,#N/A,FALSE,"Leaseup and Exp."}</definedName>
    <definedName name="dmytrd_1" hidden="1">{#N/A,#N/A,FALSE,"I&amp;E";#N/A,#N/A,FALSE,"rent roll";#N/A,#N/A,FALSE,"96noleaseup";#N/A,#N/A,FALSE,"96noleaseup matrix";#N/A,#N/A,FALSE,"leaseup 96";#N/A,#N/A,FALSE,"leaseup 96 matrix";#N/A,#N/A,FALSE,"Leaseup and Exp."}</definedName>
    <definedName name="doen" hidden="1">{#N/A,#N/A,FALSE,"I&amp;E";#N/A,#N/A,FALSE,"rent roll";#N/A,#N/A,FALSE,"96noleaseup";#N/A,#N/A,FALSE,"96noleaseup matrix";#N/A,#N/A,FALSE,"leaseup 96";#N/A,#N/A,FALSE,"leaseup 96 matrix";#N/A,#N/A,FALSE,"Leaseup and Exp."}</definedName>
    <definedName name="doen_1" hidden="1">{#N/A,#N/A,FALSE,"I&amp;E";#N/A,#N/A,FALSE,"rent roll";#N/A,#N/A,FALSE,"96noleaseup";#N/A,#N/A,FALSE,"96noleaseup matrix";#N/A,#N/A,FALSE,"leaseup 96";#N/A,#N/A,FALSE,"leaseup 96 matrix";#N/A,#N/A,FALSE,"Leaseup and Exp."}</definedName>
    <definedName name="drjdtu" hidden="1">{#N/A,#N/A,FALSE,"I&amp;E";#N/A,#N/A,FALSE,"rent roll";#N/A,#N/A,FALSE,"96noleaseup";#N/A,#N/A,FALSE,"96noleaseup matrix";#N/A,#N/A,FALSE,"leaseup 96";#N/A,#N/A,FALSE,"leaseup 96 matrix";#N/A,#N/A,FALSE,"Leaseup and Exp."}</definedName>
    <definedName name="drjdtu_1" hidden="1">{#N/A,#N/A,FALSE,"I&amp;E";#N/A,#N/A,FALSE,"rent roll";#N/A,#N/A,FALSE,"96noleaseup";#N/A,#N/A,FALSE,"96noleaseup matrix";#N/A,#N/A,FALSE,"leaseup 96";#N/A,#N/A,FALSE,"leaseup 96 matrix";#N/A,#N/A,FALSE,"Leaseup and Exp."}</definedName>
    <definedName name="drtuj" hidden="1">{#N/A,#N/A,FALSE,"I&amp;E";#N/A,#N/A,FALSE,"rent roll";#N/A,#N/A,FALSE,"96noleaseup";#N/A,#N/A,FALSE,"96noleaseup matrix";#N/A,#N/A,FALSE,"leaseup 96";#N/A,#N/A,FALSE,"leaseup 96 matrix";#N/A,#N/A,FALSE,"Leaseup and Exp."}</definedName>
    <definedName name="drtuj_1" hidden="1">{#N/A,#N/A,FALSE,"I&amp;E";#N/A,#N/A,FALSE,"rent roll";#N/A,#N/A,FALSE,"96noleaseup";#N/A,#N/A,FALSE,"96noleaseup matrix";#N/A,#N/A,FALSE,"leaseup 96";#N/A,#N/A,FALSE,"leaseup 96 matrix";#N/A,#N/A,FALSE,"Leaseup and Exp."}</definedName>
    <definedName name="DS" hidden="1">#REF!</definedName>
    <definedName name="dsafd" hidden="1">{#N/A,#N/A,FALSE,"I&amp;E";#N/A,#N/A,FALSE,"rent roll";#N/A,#N/A,FALSE,"96noleaseup";#N/A,#N/A,FALSE,"96noleaseup matrix";#N/A,#N/A,FALSE,"leaseup 96";#N/A,#N/A,FALSE,"leaseup 96 matrix";#N/A,#N/A,FALSE,"Leaseup and Exp."}</definedName>
    <definedName name="dsafd_1" hidden="1">{#N/A,#N/A,FALSE,"I&amp;E";#N/A,#N/A,FALSE,"rent roll";#N/A,#N/A,FALSE,"96noleaseup";#N/A,#N/A,FALSE,"96noleaseup matrix";#N/A,#N/A,FALSE,"leaseup 96";#N/A,#N/A,FALSE,"leaseup 96 matrix";#N/A,#N/A,FALSE,"Leaseup and Exp."}</definedName>
    <definedName name="dsafdsa" hidden="1">{#N/A,#N/A,TRUE,"Summary";#N/A,#N/A,TRUE,"Large Rev";#N/A,#N/A,TRUE,"Mid Rev";#N/A,#N/A,TRUE,"Small Rev";#N/A,#N/A,TRUE,"Stud Rev";#N/A,#N/A,TRUE,"Salaries";#N/A,#N/A,TRUE,"Adm &amp; Fin"}</definedName>
    <definedName name="dsafdsa_1" hidden="1">{#N/A,#N/A,TRUE,"Summary";#N/A,#N/A,TRUE,"Large Rev";#N/A,#N/A,TRUE,"Mid Rev";#N/A,#N/A,TRUE,"Small Rev";#N/A,#N/A,TRUE,"Stud Rev";#N/A,#N/A,TRUE,"Salaries";#N/A,#N/A,TRUE,"Adm &amp; Fin"}</definedName>
    <definedName name="dsfadfd" hidden="1">{#N/A,#N/A,FALSE,"I&amp;E";#N/A,#N/A,FALSE,"rent roll";#N/A,#N/A,FALSE,"96noleaseup";#N/A,#N/A,FALSE,"96noleaseup matrix";#N/A,#N/A,FALSE,"leaseup 96";#N/A,#N/A,FALSE,"leaseup 96 matrix";#N/A,#N/A,FALSE,"Leaseup and Exp."}</definedName>
    <definedName name="dsfadfd_1" hidden="1">{#N/A,#N/A,FALSE,"I&amp;E";#N/A,#N/A,FALSE,"rent roll";#N/A,#N/A,FALSE,"96noleaseup";#N/A,#N/A,FALSE,"96noleaseup matrix";#N/A,#N/A,FALSE,"leaseup 96";#N/A,#N/A,FALSE,"leaseup 96 matrix";#N/A,#N/A,FALSE,"Leaseup and Exp."}</definedName>
    <definedName name="dsfasaf" hidden="1">{#N/A,#N/A,FALSE,"I&amp;E";#N/A,#N/A,FALSE,"rent roll";#N/A,#N/A,FALSE,"96noleaseup";#N/A,#N/A,FALSE,"96noleaseup matrix";#N/A,#N/A,FALSE,"leaseup 96";#N/A,#N/A,FALSE,"leaseup 96 matrix";#N/A,#N/A,FALSE,"Leaseup and Exp."}</definedName>
    <definedName name="dsfasaf_1" hidden="1">{#N/A,#N/A,FALSE,"I&amp;E";#N/A,#N/A,FALSE,"rent roll";#N/A,#N/A,FALSE,"96noleaseup";#N/A,#N/A,FALSE,"96noleaseup matrix";#N/A,#N/A,FALSE,"leaseup 96";#N/A,#N/A,FALSE,"leaseup 96 matrix";#N/A,#N/A,FALSE,"Leaseup and Exp."}</definedName>
    <definedName name="dsgdfg" hidden="1">{#N/A,#N/A,FALSE,"I&amp;E";#N/A,#N/A,FALSE,"rent roll";#N/A,#N/A,FALSE,"96noleaseup";#N/A,#N/A,FALSE,"96noleaseup matrix";#N/A,#N/A,FALSE,"leaseup 96";#N/A,#N/A,FALSE,"leaseup 96 matrix";#N/A,#N/A,FALSE,"Leaseup and Exp."}</definedName>
    <definedName name="dsgdfg_1" hidden="1">{#N/A,#N/A,FALSE,"I&amp;E";#N/A,#N/A,FALSE,"rent roll";#N/A,#N/A,FALSE,"96noleaseup";#N/A,#N/A,FALSE,"96noleaseup matrix";#N/A,#N/A,FALSE,"leaseup 96";#N/A,#N/A,FALSE,"leaseup 96 matrix";#N/A,#N/A,FALSE,"Leaseup and Exp."}</definedName>
    <definedName name="dtdjdfj" hidden="1">{#N/A,#N/A,FALSE,"I&amp;E";#N/A,#N/A,FALSE,"rent roll";#N/A,#N/A,FALSE,"96noleaseup";#N/A,#N/A,FALSE,"96noleaseup matrix";#N/A,#N/A,FALSE,"leaseup 96";#N/A,#N/A,FALSE,"leaseup 96 matrix";#N/A,#N/A,FALSE,"Leaseup and Exp."}</definedName>
    <definedName name="dtdjdfj_1" hidden="1">{#N/A,#N/A,FALSE,"I&amp;E";#N/A,#N/A,FALSE,"rent roll";#N/A,#N/A,FALSE,"96noleaseup";#N/A,#N/A,FALSE,"96noleaseup matrix";#N/A,#N/A,FALSE,"leaseup 96";#N/A,#N/A,FALSE,"leaseup 96 matrix";#N/A,#N/A,FALSE,"Leaseup and Exp."}</definedName>
    <definedName name="dytj" hidden="1">{#N/A,#N/A,FALSE,"I&amp;E";#N/A,#N/A,FALSE,"rent roll";#N/A,#N/A,FALSE,"96noleaseup";#N/A,#N/A,FALSE,"96noleaseup matrix";#N/A,#N/A,FALSE,"leaseup 96";#N/A,#N/A,FALSE,"leaseup 96 matrix";#N/A,#N/A,FALSE,"Leaseup and Exp."}</definedName>
    <definedName name="dytj_1" hidden="1">{#N/A,#N/A,FALSE,"I&amp;E";#N/A,#N/A,FALSE,"rent roll";#N/A,#N/A,FALSE,"96noleaseup";#N/A,#N/A,FALSE,"96noleaseup matrix";#N/A,#N/A,FALSE,"leaseup 96";#N/A,#N/A,FALSE,"leaseup 96 matrix";#N/A,#N/A,FALSE,"Leaseup and Exp."}</definedName>
    <definedName name="dytmd" hidden="1">{#N/A,#N/A,FALSE,"I&amp;E";#N/A,#N/A,FALSE,"rent roll";#N/A,#N/A,FALSE,"96noleaseup";#N/A,#N/A,FALSE,"96noleaseup matrix";#N/A,#N/A,FALSE,"leaseup 96";#N/A,#N/A,FALSE,"leaseup 96 matrix";#N/A,#N/A,FALSE,"Leaseup and Exp."}</definedName>
    <definedName name="dytmd_1" hidden="1">{#N/A,#N/A,FALSE,"I&amp;E";#N/A,#N/A,FALSE,"rent roll";#N/A,#N/A,FALSE,"96noleaseup";#N/A,#N/A,FALSE,"96noleaseup matrix";#N/A,#N/A,FALSE,"leaseup 96";#N/A,#N/A,FALSE,"leaseup 96 matrix";#N/A,#N/A,FALSE,"Leaseup and Exp."}</definedName>
    <definedName name="eertwer" hidden="1">{#N/A,#N/A,FALSE,"I&amp;E";#N/A,#N/A,FALSE,"rent roll";#N/A,#N/A,FALSE,"96noleaseup";#N/A,#N/A,FALSE,"96noleaseup matrix";#N/A,#N/A,FALSE,"leaseup 96";#N/A,#N/A,FALSE,"leaseup 96 matrix";#N/A,#N/A,FALSE,"Leaseup and Exp."}</definedName>
    <definedName name="eertwer_1" hidden="1">{#N/A,#N/A,FALSE,"I&amp;E";#N/A,#N/A,FALSE,"rent roll";#N/A,#N/A,FALSE,"96noleaseup";#N/A,#N/A,FALSE,"96noleaseup matrix";#N/A,#N/A,FALSE,"leaseup 96";#N/A,#N/A,FALSE,"leaseup 96 matrix";#N/A,#N/A,FALSE,"Leaseup and Exp."}</definedName>
    <definedName name="eiiei" hidden="1">{#N/A,#N/A,FALSE,"I&amp;E";#N/A,#N/A,FALSE,"rent roll";#N/A,#N/A,FALSE,"96noleaseup";#N/A,#N/A,FALSE,"96noleaseup matrix";#N/A,#N/A,FALSE,"leaseup 96";#N/A,#N/A,FALSE,"leaseup 96 matrix";#N/A,#N/A,FALSE,"Leaseup and Exp."}</definedName>
    <definedName name="eiiei_1" hidden="1">{#N/A,#N/A,FALSE,"I&amp;E";#N/A,#N/A,FALSE,"rent roll";#N/A,#N/A,FALSE,"96noleaseup";#N/A,#N/A,FALSE,"96noleaseup matrix";#N/A,#N/A,FALSE,"leaseup 96";#N/A,#N/A,FALSE,"leaseup 96 matrix";#N/A,#N/A,FALSE,"Leaseup and Exp."}</definedName>
    <definedName name="eliza" hidden="1">{#N/A,#N/A,FALSE,"I&amp;E";#N/A,#N/A,FALSE,"rent roll";#N/A,#N/A,FALSE,"96noleaseup";#N/A,#N/A,FALSE,"96noleaseup matrix";#N/A,#N/A,FALSE,"leaseup 96";#N/A,#N/A,FALSE,"leaseup 96 matrix";#N/A,#N/A,FALSE,"Leaseup and Exp."}</definedName>
    <definedName name="emrtye" hidden="1">{#N/A,#N/A,FALSE,"I&amp;E";#N/A,#N/A,FALSE,"rent roll";#N/A,#N/A,FALSE,"96noleaseup";#N/A,#N/A,FALSE,"96noleaseup matrix";#N/A,#N/A,FALSE,"leaseup 96";#N/A,#N/A,FALSE,"leaseup 96 matrix";#N/A,#N/A,FALSE,"Leaseup and Exp."}</definedName>
    <definedName name="emrtye_1" hidden="1">{#N/A,#N/A,FALSE,"I&amp;E";#N/A,#N/A,FALSE,"rent roll";#N/A,#N/A,FALSE,"96noleaseup";#N/A,#N/A,FALSE,"96noleaseup matrix";#N/A,#N/A,FALSE,"leaseup 96";#N/A,#N/A,FALSE,"leaseup 96 matrix";#N/A,#N/A,FALSE,"Leaseup and Exp."}</definedName>
    <definedName name="en56e" hidden="1">{#N/A,#N/A,TRUE,"Summary";#N/A,#N/A,TRUE,"Large Rev";#N/A,#N/A,TRUE,"Mid Rev";#N/A,#N/A,TRUE,"Small Rev";#N/A,#N/A,TRUE,"Stud Rev";#N/A,#N/A,TRUE,"Salaries";#N/A,#N/A,TRUE,"Adm &amp; Fin"}</definedName>
    <definedName name="en56e_1" hidden="1">{#N/A,#N/A,TRUE,"Summary";#N/A,#N/A,TRUE,"Large Rev";#N/A,#N/A,TRUE,"Mid Rev";#N/A,#N/A,TRUE,"Small Rev";#N/A,#N/A,TRUE,"Stud Rev";#N/A,#N/A,TRUE,"Salaries";#N/A,#N/A,TRUE,"Adm &amp; Fin"}</definedName>
    <definedName name="er43r" hidden="1">{#N/A,#N/A,TRUE,"Summary";#N/A,#N/A,TRUE,"Large Rev";#N/A,#N/A,TRUE,"Mid Rev";#N/A,#N/A,TRUE,"Small Rev";#N/A,#N/A,TRUE,"Stud Rev";#N/A,#N/A,TRUE,"Salaries";#N/A,#N/A,TRUE,"Adm &amp; Fin"}</definedName>
    <definedName name="er43r_1" hidden="1">{#N/A,#N/A,TRUE,"Summary";#N/A,#N/A,TRUE,"Large Rev";#N/A,#N/A,TRUE,"Mid Rev";#N/A,#N/A,TRUE,"Small Rev";#N/A,#N/A,TRUE,"Stud Rev";#N/A,#N/A,TRUE,"Salaries";#N/A,#N/A,TRUE,"Adm &amp; Fin"}</definedName>
    <definedName name="erarh" hidden="1">{#N/A,#N/A,TRUE,"Summary";#N/A,#N/A,TRUE,"Large Rev";#N/A,#N/A,TRUE,"Mid Rev";#N/A,#N/A,TRUE,"Small Rev";#N/A,#N/A,TRUE,"Stud Rev";#N/A,#N/A,TRUE,"Salaries";#N/A,#N/A,TRUE,"Adm &amp; Fin"}</definedName>
    <definedName name="erarh_1" hidden="1">{#N/A,#N/A,TRUE,"Summary";#N/A,#N/A,TRUE,"Large Rev";#N/A,#N/A,TRUE,"Mid Rev";#N/A,#N/A,TRUE,"Small Rev";#N/A,#N/A,TRUE,"Stud Rev";#N/A,#N/A,TRUE,"Salaries";#N/A,#N/A,TRUE,"Adm &amp; Fin"}</definedName>
    <definedName name="ereerr" hidden="1">{#N/A,#N/A,TRUE,"Summary";#N/A,#N/A,TRUE,"Large Rev";#N/A,#N/A,TRUE,"Mid Rev";#N/A,#N/A,TRUE,"Small Rev";#N/A,#N/A,TRUE,"Stud Rev";#N/A,#N/A,TRUE,"Salaries";#N/A,#N/A,TRUE,"Adm &amp; Fin"}</definedName>
    <definedName name="ereerr_1" hidden="1">{#N/A,#N/A,TRUE,"Summary";#N/A,#N/A,TRUE,"Large Rev";#N/A,#N/A,TRUE,"Mid Rev";#N/A,#N/A,TRUE,"Small Rev";#N/A,#N/A,TRUE,"Stud Rev";#N/A,#N/A,TRUE,"Salaries";#N/A,#N/A,TRUE,"Adm &amp; Fin"}</definedName>
    <definedName name="erty" hidden="1">{#N/A,#N/A,FALSE,"I&amp;E";#N/A,#N/A,FALSE,"rent roll";#N/A,#N/A,FALSE,"96noleaseup";#N/A,#N/A,FALSE,"96noleaseup matrix";#N/A,#N/A,FALSE,"leaseup 96";#N/A,#N/A,FALSE,"leaseup 96 matrix";#N/A,#N/A,FALSE,"Leaseup and Exp."}</definedName>
    <definedName name="erty_1" hidden="1">{#N/A,#N/A,FALSE,"I&amp;E";#N/A,#N/A,FALSE,"rent roll";#N/A,#N/A,FALSE,"96noleaseup";#N/A,#N/A,FALSE,"96noleaseup matrix";#N/A,#N/A,FALSE,"leaseup 96";#N/A,#N/A,FALSE,"leaseup 96 matrix";#N/A,#N/A,FALSE,"Leaseup and Exp."}</definedName>
    <definedName name="ertyr" hidden="1">{#N/A,#N/A,FALSE,"I&amp;E";#N/A,#N/A,FALSE,"rent roll";#N/A,#N/A,FALSE,"96noleaseup";#N/A,#N/A,FALSE,"96noleaseup matrix";#N/A,#N/A,FALSE,"leaseup 96";#N/A,#N/A,FALSE,"leaseup 96 matrix";#N/A,#N/A,FALSE,"Leaseup and Exp."}</definedName>
    <definedName name="ertyr_1" hidden="1">{#N/A,#N/A,FALSE,"I&amp;E";#N/A,#N/A,FALSE,"rent roll";#N/A,#N/A,FALSE,"96noleaseup";#N/A,#N/A,FALSE,"96noleaseup matrix";#N/A,#N/A,FALSE,"leaseup 96";#N/A,#N/A,FALSE,"leaseup 96 matrix";#N/A,#N/A,FALSE,"Leaseup and Exp."}</definedName>
    <definedName name="erut" hidden="1">{#N/A,#N/A,FALSE,"I&amp;E";#N/A,#N/A,FALSE,"rent roll";#N/A,#N/A,FALSE,"96noleaseup";#N/A,#N/A,FALSE,"96noleaseup matrix";#N/A,#N/A,FALSE,"leaseup 96";#N/A,#N/A,FALSE,"leaseup 96 matrix";#N/A,#N/A,FALSE,"Leaseup and Exp."}</definedName>
    <definedName name="erut_1" hidden="1">{#N/A,#N/A,FALSE,"I&amp;E";#N/A,#N/A,FALSE,"rent roll";#N/A,#N/A,FALSE,"96noleaseup";#N/A,#N/A,FALSE,"96noleaseup matrix";#N/A,#N/A,FALSE,"leaseup 96";#N/A,#N/A,FALSE,"leaseup 96 matrix";#N/A,#N/A,FALSE,"Leaseup and Exp."}</definedName>
    <definedName name="erwtw" hidden="1">{#N/A,#N/A,FALSE,"I&amp;E";#N/A,#N/A,FALSE,"rent roll";#N/A,#N/A,FALSE,"96noleaseup";#N/A,#N/A,FALSE,"96noleaseup matrix";#N/A,#N/A,FALSE,"leaseup 96";#N/A,#N/A,FALSE,"leaseup 96 matrix";#N/A,#N/A,FALSE,"Leaseup and Exp."}</definedName>
    <definedName name="erwtw_1" hidden="1">{#N/A,#N/A,FALSE,"I&amp;E";#N/A,#N/A,FALSE,"rent roll";#N/A,#N/A,FALSE,"96noleaseup";#N/A,#N/A,FALSE,"96noleaseup matrix";#N/A,#N/A,FALSE,"leaseup 96";#N/A,#N/A,FALSE,"leaseup 96 matrix";#N/A,#N/A,FALSE,"Leaseup and Exp."}</definedName>
    <definedName name="eryrty" hidden="1">{#N/A,#N/A,FALSE,"I&amp;E";#N/A,#N/A,FALSE,"rent roll";#N/A,#N/A,FALSE,"96noleaseup";#N/A,#N/A,FALSE,"96noleaseup matrix";#N/A,#N/A,FALSE,"leaseup 96";#N/A,#N/A,FALSE,"leaseup 96 matrix";#N/A,#N/A,FALSE,"Leaseup and Exp."}</definedName>
    <definedName name="eryrty_1" hidden="1">{#N/A,#N/A,FALSE,"I&amp;E";#N/A,#N/A,FALSE,"rent roll";#N/A,#N/A,FALSE,"96noleaseup";#N/A,#N/A,FALSE,"96noleaseup matrix";#N/A,#N/A,FALSE,"leaseup 96";#N/A,#N/A,FALSE,"leaseup 96 matrix";#N/A,#N/A,FALSE,"Leaseup and Exp."}</definedName>
    <definedName name="eryytrey" hidden="1">{"Summary",#N/A,TRUE,"Fin. Summary";"Payroll",#N/A,TRUE,"Staffing";"Personnel Phasing",#N/A,TRUE,"Staffing"}</definedName>
    <definedName name="eryytrey_1" hidden="1">{"Summary",#N/A,TRUE,"Fin. Summary";"Payroll",#N/A,TRUE,"Staffing";"Personnel Phasing",#N/A,TRUE,"Staffing"}</definedName>
    <definedName name="ety" hidden="1">{#N/A,#N/A,TRUE,"Summary";#N/A,#N/A,TRUE,"Large Rev";#N/A,#N/A,TRUE,"Mid Rev";#N/A,#N/A,TRUE,"Small Rev";#N/A,#N/A,TRUE,"Stud Rev";#N/A,#N/A,TRUE,"Salaries";#N/A,#N/A,TRUE,"Adm &amp; Fin"}</definedName>
    <definedName name="ety_1" hidden="1">{#N/A,#N/A,TRUE,"Summary";#N/A,#N/A,TRUE,"Large Rev";#N/A,#N/A,TRUE,"Mid Rev";#N/A,#N/A,TRUE,"Small Rev";#N/A,#N/A,TRUE,"Stud Rev";#N/A,#N/A,TRUE,"Salaries";#N/A,#N/A,TRUE,"Adm &amp; Fin"}</definedName>
    <definedName name="etyer" hidden="1">{#N/A,#N/A,FALSE,"I&amp;E";#N/A,#N/A,FALSE,"rent roll";#N/A,#N/A,FALSE,"96noleaseup";#N/A,#N/A,FALSE,"96noleaseup matrix";#N/A,#N/A,FALSE,"leaseup 96";#N/A,#N/A,FALSE,"leaseup 96 matrix";#N/A,#N/A,FALSE,"Leaseup and Exp."}</definedName>
    <definedName name="etyer_1" hidden="1">{#N/A,#N/A,FALSE,"I&amp;E";#N/A,#N/A,FALSE,"rent roll";#N/A,#N/A,FALSE,"96noleaseup";#N/A,#N/A,FALSE,"96noleaseup matrix";#N/A,#N/A,FALSE,"leaseup 96";#N/A,#N/A,FALSE,"leaseup 96 matrix";#N/A,#N/A,FALSE,"Leaseup and Exp."}</definedName>
    <definedName name="eutre" hidden="1">{#N/A,#N/A,FALSE,"I&amp;E";#N/A,#N/A,FALSE,"rent roll";#N/A,#N/A,FALSE,"96noleaseup";#N/A,#N/A,FALSE,"96noleaseup matrix";#N/A,#N/A,FALSE,"leaseup 96";#N/A,#N/A,FALSE,"leaseup 96 matrix";#N/A,#N/A,FALSE,"Leaseup and Exp."}</definedName>
    <definedName name="eutre_1" hidden="1">{#N/A,#N/A,FALSE,"I&amp;E";#N/A,#N/A,FALSE,"rent roll";#N/A,#N/A,FALSE,"96noleaseup";#N/A,#N/A,FALSE,"96noleaseup matrix";#N/A,#N/A,FALSE,"leaseup 96";#N/A,#N/A,FALSE,"leaseup 96 matrix";#N/A,#N/A,FALSE,"Leaseup and Exp."}</definedName>
    <definedName name="euutr" hidden="1">{#N/A,#N/A,FALSE,"I&amp;E";#N/A,#N/A,FALSE,"rent roll";#N/A,#N/A,FALSE,"96noleaseup";#N/A,#N/A,FALSE,"96noleaseup matrix";#N/A,#N/A,FALSE,"leaseup 96";#N/A,#N/A,FALSE,"leaseup 96 matrix";#N/A,#N/A,FALSE,"Leaseup and Exp."}</definedName>
    <definedName name="euutr_1" hidden="1">{#N/A,#N/A,FALSE,"I&amp;E";#N/A,#N/A,FALSE,"rent roll";#N/A,#N/A,FALSE,"96noleaseup";#N/A,#N/A,FALSE,"96noleaseup matrix";#N/A,#N/A,FALSE,"leaseup 96";#N/A,#N/A,FALSE,"leaseup 96 matrix";#N/A,#N/A,FALSE,"Leaseup and Exp."}</definedName>
    <definedName name="ewnty" hidden="1">{#N/A,#N/A,FALSE,"I&amp;E";#N/A,#N/A,FALSE,"rent roll";#N/A,#N/A,FALSE,"96noleaseup";#N/A,#N/A,FALSE,"96noleaseup matrix";#N/A,#N/A,FALSE,"leaseup 96";#N/A,#N/A,FALSE,"leaseup 96 matrix";#N/A,#N/A,FALSE,"Leaseup and Exp."}</definedName>
    <definedName name="ewnty_1" hidden="1">{#N/A,#N/A,FALSE,"I&amp;E";#N/A,#N/A,FALSE,"rent roll";#N/A,#N/A,FALSE,"96noleaseup";#N/A,#N/A,FALSE,"96noleaseup matrix";#N/A,#N/A,FALSE,"leaseup 96";#N/A,#N/A,FALSE,"leaseup 96 matrix";#N/A,#N/A,FALSE,"Leaseup and Exp."}</definedName>
    <definedName name="ewrqew" hidden="1">{#N/A,#N/A,TRUE,"Summary";#N/A,#N/A,TRUE,"Large Rev";#N/A,#N/A,TRUE,"Mid Rev";#N/A,#N/A,TRUE,"Small Rev";#N/A,#N/A,TRUE,"Stud Rev";#N/A,#N/A,TRUE,"Salaries";#N/A,#N/A,TRUE,"Adm &amp; Fin"}</definedName>
    <definedName name="ewrqew_1" hidden="1">{#N/A,#N/A,TRUE,"Summary";#N/A,#N/A,TRUE,"Large Rev";#N/A,#N/A,TRUE,"Mid Rev";#N/A,#N/A,TRUE,"Small Rev";#N/A,#N/A,TRUE,"Stud Rev";#N/A,#N/A,TRUE,"Salaries";#N/A,#N/A,TRUE,"Adm &amp; Fin"}</definedName>
    <definedName name="ewrt" hidden="1">{#N/A,#N/A,TRUE,"Summary";#N/A,#N/A,TRUE,"Large Rev";#N/A,#N/A,TRUE,"Mid Rev";#N/A,#N/A,TRUE,"Small Rev";#N/A,#N/A,TRUE,"Stud Rev";#N/A,#N/A,TRUE,"Salaries";#N/A,#N/A,TRUE,"Adm &amp; Fin"}</definedName>
    <definedName name="ewrt_1" hidden="1">{#N/A,#N/A,TRUE,"Summary";#N/A,#N/A,TRUE,"Large Rev";#N/A,#N/A,TRUE,"Mid Rev";#N/A,#N/A,TRUE,"Small Rev";#N/A,#N/A,TRUE,"Stud Rev";#N/A,#N/A,TRUE,"Salaries";#N/A,#N/A,TRUE,"Adm &amp; Fin"}</definedName>
    <definedName name="ewtnert" hidden="1">{#N/A,#N/A,FALSE,"I&amp;E";#N/A,#N/A,FALSE,"rent roll";#N/A,#N/A,FALSE,"96noleaseup";#N/A,#N/A,FALSE,"96noleaseup matrix";#N/A,#N/A,FALSE,"leaseup 96";#N/A,#N/A,FALSE,"leaseup 96 matrix";#N/A,#N/A,FALSE,"Leaseup and Exp."}</definedName>
    <definedName name="ewtnert_1" hidden="1">{#N/A,#N/A,FALSE,"I&amp;E";#N/A,#N/A,FALSE,"rent roll";#N/A,#N/A,FALSE,"96noleaseup";#N/A,#N/A,FALSE,"96noleaseup matrix";#N/A,#N/A,FALSE,"leaseup 96";#N/A,#N/A,FALSE,"leaseup 96 matrix";#N/A,#N/A,FALSE,"Leaseup and Exp."}</definedName>
    <definedName name="ewtryeru" hidden="1">{#N/A,#N/A,FALSE,"I&amp;E";#N/A,#N/A,FALSE,"rent roll";#N/A,#N/A,FALSE,"96noleaseup";#N/A,#N/A,FALSE,"96noleaseup matrix";#N/A,#N/A,FALSE,"leaseup 96";#N/A,#N/A,FALSE,"leaseup 96 matrix";#N/A,#N/A,FALSE,"Leaseup and Exp."}</definedName>
    <definedName name="ewtryeru_1" hidden="1">{#N/A,#N/A,FALSE,"I&amp;E";#N/A,#N/A,FALSE,"rent roll";#N/A,#N/A,FALSE,"96noleaseup";#N/A,#N/A,FALSE,"96noleaseup matrix";#N/A,#N/A,FALSE,"leaseup 96";#N/A,#N/A,FALSE,"leaseup 96 matrix";#N/A,#N/A,FALSE,"Leaseup and Exp."}</definedName>
    <definedName name="eyrtyer" hidden="1">{#N/A,#N/A,FALSE,"I&amp;E";#N/A,#N/A,FALSE,"rent roll";#N/A,#N/A,FALSE,"96noleaseup";#N/A,#N/A,FALSE,"96noleaseup matrix";#N/A,#N/A,FALSE,"leaseup 96";#N/A,#N/A,FALSE,"leaseup 96 matrix";#N/A,#N/A,FALSE,"Leaseup and Exp."}</definedName>
    <definedName name="eyrtyer_1" hidden="1">{#N/A,#N/A,FALSE,"I&amp;E";#N/A,#N/A,FALSE,"rent roll";#N/A,#N/A,FALSE,"96noleaseup";#N/A,#N/A,FALSE,"96noleaseup matrix";#N/A,#N/A,FALSE,"leaseup 96";#N/A,#N/A,FALSE,"leaseup 96 matrix";#N/A,#N/A,FALSE,"Leaseup and Exp."}</definedName>
    <definedName name="eywry" hidden="1">{#N/A,#N/A,FALSE,"I&amp;E";#N/A,#N/A,FALSE,"rent roll";#N/A,#N/A,FALSE,"96noleaseup";#N/A,#N/A,FALSE,"96noleaseup matrix";#N/A,#N/A,FALSE,"leaseup 96";#N/A,#N/A,FALSE,"leaseup 96 matrix";#N/A,#N/A,FALSE,"Leaseup and Exp."}</definedName>
    <definedName name="eywry_1" hidden="1">{#N/A,#N/A,FALSE,"I&amp;E";#N/A,#N/A,FALSE,"rent roll";#N/A,#N/A,FALSE,"96noleaseup";#N/A,#N/A,FALSE,"96noleaseup matrix";#N/A,#N/A,FALSE,"leaseup 96";#N/A,#N/A,FALSE,"leaseup 96 matrix";#N/A,#N/A,FALSE,"Leaseup and Exp."}</definedName>
    <definedName name="fadf" hidden="1">{#N/A,#N/A,FALSE,"I&amp;E";#N/A,#N/A,FALSE,"rent roll";#N/A,#N/A,FALSE,"96noleaseup";#N/A,#N/A,FALSE,"96noleaseup matrix";#N/A,#N/A,FALSE,"leaseup 96";#N/A,#N/A,FALSE,"leaseup 96 matrix";#N/A,#N/A,FALSE,"Leaseup and Exp."}</definedName>
    <definedName name="fadf_1" hidden="1">{#N/A,#N/A,FALSE,"I&amp;E";#N/A,#N/A,FALSE,"rent roll";#N/A,#N/A,FALSE,"96noleaseup";#N/A,#N/A,FALSE,"96noleaseup matrix";#N/A,#N/A,FALSE,"leaseup 96";#N/A,#N/A,FALSE,"leaseup 96 matrix";#N/A,#N/A,FALSE,"Leaseup and Exp."}</definedName>
    <definedName name="fadsf" hidden="1">{#N/A,#N/A,FALSE,"I&amp;E";#N/A,#N/A,FALSE,"rent roll";#N/A,#N/A,FALSE,"96noleaseup";#N/A,#N/A,FALSE,"96noleaseup matrix";#N/A,#N/A,FALSE,"leaseup 96";#N/A,#N/A,FALSE,"leaseup 96 matrix";#N/A,#N/A,FALSE,"Leaseup and Exp."}</definedName>
    <definedName name="fadsf_1" hidden="1">{#N/A,#N/A,FALSE,"I&amp;E";#N/A,#N/A,FALSE,"rent roll";#N/A,#N/A,FALSE,"96noleaseup";#N/A,#N/A,FALSE,"96noleaseup matrix";#N/A,#N/A,FALSE,"leaseup 96";#N/A,#N/A,FALSE,"leaseup 96 matrix";#N/A,#N/A,FALSE,"Leaseup and Exp."}</definedName>
    <definedName name="fadsff" hidden="1">{#N/A,#N/A,FALSE,"I&amp;E";#N/A,#N/A,FALSE,"rent roll";#N/A,#N/A,FALSE,"96noleaseup";#N/A,#N/A,FALSE,"96noleaseup matrix";#N/A,#N/A,FALSE,"leaseup 96";#N/A,#N/A,FALSE,"leaseup 96 matrix";#N/A,#N/A,FALSE,"Leaseup and Exp."}</definedName>
    <definedName name="fadsff_1" hidden="1">{#N/A,#N/A,FALSE,"I&amp;E";#N/A,#N/A,FALSE,"rent roll";#N/A,#N/A,FALSE,"96noleaseup";#N/A,#N/A,FALSE,"96noleaseup matrix";#N/A,#N/A,FALSE,"leaseup 96";#N/A,#N/A,FALSE,"leaseup 96 matrix";#N/A,#N/A,FALSE,"Leaseup and Exp."}</definedName>
    <definedName name="fasd_ok" hidden="1">{"Summary",#N/A,TRUE,"Fin. Summary";"Payroll",#N/A,TRUE,"Staffing";"Personnel Phasing",#N/A,TRUE,"Staffing"}</definedName>
    <definedName name="fasd_ok_1" hidden="1">{"Summary",#N/A,TRUE,"Fin. Summary";"Payroll",#N/A,TRUE,"Staffing";"Personnel Phasing",#N/A,TRUE,"Staffing"}</definedName>
    <definedName name="fasdfads" hidden="1">{#N/A,#N/A,FALSE,"I&amp;E";#N/A,#N/A,FALSE,"rent roll";#N/A,#N/A,FALSE,"96noleaseup";#N/A,#N/A,FALSE,"96noleaseup matrix";#N/A,#N/A,FALSE,"leaseup 96";#N/A,#N/A,FALSE,"leaseup 96 matrix";#N/A,#N/A,FALSE,"Leaseup and Exp."}</definedName>
    <definedName name="fasdfads_1" hidden="1">{#N/A,#N/A,FALSE,"I&amp;E";#N/A,#N/A,FALSE,"rent roll";#N/A,#N/A,FALSE,"96noleaseup";#N/A,#N/A,FALSE,"96noleaseup matrix";#N/A,#N/A,FALSE,"leaseup 96";#N/A,#N/A,FALSE,"leaseup 96 matrix";#N/A,#N/A,FALSE,"Leaseup and Exp."}</definedName>
    <definedName name="fdafsdsfd" hidden="1">{#N/A,#N/A,TRUE,"Summary";#N/A,#N/A,TRUE,"Large Rev";#N/A,#N/A,TRUE,"Mid Rev";#N/A,#N/A,TRUE,"Small Rev";#N/A,#N/A,TRUE,"Stud Rev";#N/A,#N/A,TRUE,"Salaries";#N/A,#N/A,TRUE,"Adm &amp; Fin"}</definedName>
    <definedName name="fdafsdsfd_1" hidden="1">{#N/A,#N/A,TRUE,"Summary";#N/A,#N/A,TRUE,"Large Rev";#N/A,#N/A,TRUE,"Mid Rev";#N/A,#N/A,TRUE,"Small Rev";#N/A,#N/A,TRUE,"Stud Rev";#N/A,#N/A,TRUE,"Salaries";#N/A,#N/A,TRUE,"Adm &amp; Fin"}</definedName>
    <definedName name="fdgs" hidden="1">{#N/A,#N/A,TRUE,"Summary";#N/A,#N/A,TRUE,"Large Rev";#N/A,#N/A,TRUE,"Mid Rev";#N/A,#N/A,TRUE,"Small Rev";#N/A,#N/A,TRUE,"Stud Rev";#N/A,#N/A,TRUE,"Salaries";#N/A,#N/A,TRUE,"Adm &amp; Fin"}</definedName>
    <definedName name="fdgs_1" hidden="1">{#N/A,#N/A,TRUE,"Summary";#N/A,#N/A,TRUE,"Large Rev";#N/A,#N/A,TRUE,"Mid Rev";#N/A,#N/A,TRUE,"Small Rev";#N/A,#N/A,TRUE,"Stud Rev";#N/A,#N/A,TRUE,"Salaries";#N/A,#N/A,TRUE,"Adm &amp; Fin"}</definedName>
    <definedName name="fdhgfd" hidden="1">{#N/A,#N/A,FALSE,"I&amp;E";#N/A,#N/A,FALSE,"rent roll";#N/A,#N/A,FALSE,"96noleaseup";#N/A,#N/A,FALSE,"96noleaseup matrix";#N/A,#N/A,FALSE,"leaseup 96";#N/A,#N/A,FALSE,"leaseup 96 matrix";#N/A,#N/A,FALSE,"Leaseup and Exp."}</definedName>
    <definedName name="fdhgfd_1" hidden="1">{#N/A,#N/A,FALSE,"I&amp;E";#N/A,#N/A,FALSE,"rent roll";#N/A,#N/A,FALSE,"96noleaseup";#N/A,#N/A,FALSE,"96noleaseup matrix";#N/A,#N/A,FALSE,"leaseup 96";#N/A,#N/A,FALSE,"leaseup 96 matrix";#N/A,#N/A,FALSE,"Leaseup and Exp."}</definedName>
    <definedName name="fdhsfh" hidden="1">{#N/A,#N/A,FALSE,"I&amp;E";#N/A,#N/A,FALSE,"rent roll";#N/A,#N/A,FALSE,"96noleaseup";#N/A,#N/A,FALSE,"96noleaseup matrix";#N/A,#N/A,FALSE,"leaseup 96";#N/A,#N/A,FALSE,"leaseup 96 matrix";#N/A,#N/A,FALSE,"Leaseup and Exp."}</definedName>
    <definedName name="fdhsfh_1" hidden="1">{#N/A,#N/A,FALSE,"I&amp;E";#N/A,#N/A,FALSE,"rent roll";#N/A,#N/A,FALSE,"96noleaseup";#N/A,#N/A,FALSE,"96noleaseup matrix";#N/A,#N/A,FALSE,"leaseup 96";#N/A,#N/A,FALSE,"leaseup 96 matrix";#N/A,#N/A,FALSE,"Leaseup and Exp."}</definedName>
    <definedName name="fdhshf" hidden="1">{#N/A,#N/A,FALSE,"I&amp;E";#N/A,#N/A,FALSE,"rent roll";#N/A,#N/A,FALSE,"96noleaseup";#N/A,#N/A,FALSE,"96noleaseup matrix";#N/A,#N/A,FALSE,"leaseup 96";#N/A,#N/A,FALSE,"leaseup 96 matrix";#N/A,#N/A,FALSE,"Leaseup and Exp."}</definedName>
    <definedName name="fdhshf_1" hidden="1">{#N/A,#N/A,FALSE,"I&amp;E";#N/A,#N/A,FALSE,"rent roll";#N/A,#N/A,FALSE,"96noleaseup";#N/A,#N/A,FALSE,"96noleaseup matrix";#N/A,#N/A,FALSE,"leaseup 96";#N/A,#N/A,FALSE,"leaseup 96 matrix";#N/A,#N/A,FALSE,"Leaseup and Exp."}</definedName>
    <definedName name="fdsfasdf" hidden="1">{#N/A,#N/A,FALSE,"I&amp;E";#N/A,#N/A,FALSE,"rent roll";#N/A,#N/A,FALSE,"96noleaseup";#N/A,#N/A,FALSE,"96noleaseup matrix";#N/A,#N/A,FALSE,"leaseup 96";#N/A,#N/A,FALSE,"leaseup 96 matrix";#N/A,#N/A,FALSE,"Leaseup and Exp."}</definedName>
    <definedName name="fdsfasdf_1" hidden="1">{#N/A,#N/A,FALSE,"I&amp;E";#N/A,#N/A,FALSE,"rent roll";#N/A,#N/A,FALSE,"96noleaseup";#N/A,#N/A,FALSE,"96noleaseup matrix";#N/A,#N/A,FALSE,"leaseup 96";#N/A,#N/A,FALSE,"leaseup 96 matrix";#N/A,#N/A,FALSE,"Leaseup and Exp."}</definedName>
    <definedName name="fdsg" hidden="1">{#N/A,#N/A,FALSE,"I&amp;E";#N/A,#N/A,FALSE,"rent roll";#N/A,#N/A,FALSE,"96noleaseup";#N/A,#N/A,FALSE,"96noleaseup matrix";#N/A,#N/A,FALSE,"leaseup 96";#N/A,#N/A,FALSE,"leaseup 96 matrix";#N/A,#N/A,FALSE,"Leaseup and Exp."}</definedName>
    <definedName name="fdsg_1" hidden="1">{#N/A,#N/A,FALSE,"I&amp;E";#N/A,#N/A,FALSE,"rent roll";#N/A,#N/A,FALSE,"96noleaseup";#N/A,#N/A,FALSE,"96noleaseup matrix";#N/A,#N/A,FALSE,"leaseup 96";#N/A,#N/A,FALSE,"leaseup 96 matrix";#N/A,#N/A,FALSE,"Leaseup and Exp."}</definedName>
    <definedName name="fdsgdfg" hidden="1">{#N/A,#N/A,FALSE,"I&amp;E";#N/A,#N/A,FALSE,"rent roll";#N/A,#N/A,FALSE,"96noleaseup";#N/A,#N/A,FALSE,"96noleaseup matrix";#N/A,#N/A,FALSE,"leaseup 96";#N/A,#N/A,FALSE,"leaseup 96 matrix";#N/A,#N/A,FALSE,"Leaseup and Exp."}</definedName>
    <definedName name="fdsgdfg_1" hidden="1">{#N/A,#N/A,FALSE,"I&amp;E";#N/A,#N/A,FALSE,"rent roll";#N/A,#N/A,FALSE,"96noleaseup";#N/A,#N/A,FALSE,"96noleaseup matrix";#N/A,#N/A,FALSE,"leaseup 96";#N/A,#N/A,FALSE,"leaseup 96 matrix";#N/A,#N/A,FALSE,"Leaseup and Exp."}</definedName>
    <definedName name="fdsgfg" hidden="1">{#N/A,#N/A,FALSE,"I&amp;E";#N/A,#N/A,FALSE,"rent roll";#N/A,#N/A,FALSE,"96noleaseup";#N/A,#N/A,FALSE,"96noleaseup matrix";#N/A,#N/A,FALSE,"leaseup 96";#N/A,#N/A,FALSE,"leaseup 96 matrix";#N/A,#N/A,FALSE,"Leaseup and Exp."}</definedName>
    <definedName name="fdsgfg_1" hidden="1">{#N/A,#N/A,FALSE,"I&amp;E";#N/A,#N/A,FALSE,"rent roll";#N/A,#N/A,FALSE,"96noleaseup";#N/A,#N/A,FALSE,"96noleaseup matrix";#N/A,#N/A,FALSE,"leaseup 96";#N/A,#N/A,FALSE,"leaseup 96 matrix";#N/A,#N/A,FALSE,"Leaseup and Exp."}</definedName>
    <definedName name="fdshfd" hidden="1">{#N/A,#N/A,FALSE,"I&amp;E";#N/A,#N/A,FALSE,"rent roll";#N/A,#N/A,FALSE,"96noleaseup";#N/A,#N/A,FALSE,"96noleaseup matrix";#N/A,#N/A,FALSE,"leaseup 96";#N/A,#N/A,FALSE,"leaseup 96 matrix";#N/A,#N/A,FALSE,"Leaseup and Exp."}</definedName>
    <definedName name="fdshfd_1" hidden="1">{#N/A,#N/A,FALSE,"I&amp;E";#N/A,#N/A,FALSE,"rent roll";#N/A,#N/A,FALSE,"96noleaseup";#N/A,#N/A,FALSE,"96noleaseup matrix";#N/A,#N/A,FALSE,"leaseup 96";#N/A,#N/A,FALSE,"leaseup 96 matrix";#N/A,#N/A,FALSE,"Leaseup and Exp."}</definedName>
    <definedName name="fffffffk" hidden="1">{#N/A,#N/A,FALSE,"I&amp;E";#N/A,#N/A,FALSE,"rent roll";#N/A,#N/A,FALSE,"96noleaseup";#N/A,#N/A,FALSE,"96noleaseup matrix";#N/A,#N/A,FALSE,"leaseup 96";#N/A,#N/A,FALSE,"leaseup 96 matrix";#N/A,#N/A,FALSE,"Leaseup and Exp."}</definedName>
    <definedName name="fffffffk_1" hidden="1">{#N/A,#N/A,FALSE,"I&amp;E";#N/A,#N/A,FALSE,"rent roll";#N/A,#N/A,FALSE,"96noleaseup";#N/A,#N/A,FALSE,"96noleaseup matrix";#N/A,#N/A,FALSE,"leaseup 96";#N/A,#N/A,FALSE,"leaseup 96 matrix";#N/A,#N/A,FALSE,"Leaseup and Exp."}</definedName>
    <definedName name="ffjjggd" hidden="1">{#N/A,#N/A,FALSE,"I&amp;E";#N/A,#N/A,FALSE,"rent roll";#N/A,#N/A,FALSE,"96noleaseup";#N/A,#N/A,FALSE,"96noleaseup matrix";#N/A,#N/A,FALSE,"leaseup 96";#N/A,#N/A,FALSE,"leaseup 96 matrix";#N/A,#N/A,FALSE,"Leaseup and Exp."}</definedName>
    <definedName name="ffjjggd_1" hidden="1">{#N/A,#N/A,FALSE,"I&amp;E";#N/A,#N/A,FALSE,"rent roll";#N/A,#N/A,FALSE,"96noleaseup";#N/A,#N/A,FALSE,"96noleaseup matrix";#N/A,#N/A,FALSE,"leaseup 96";#N/A,#N/A,FALSE,"leaseup 96 matrix";#N/A,#N/A,FALSE,"Leaseup and Exp."}</definedName>
    <definedName name="ffyyykkk" hidden="1">{#N/A,#N/A,FALSE,"I&amp;E";#N/A,#N/A,FALSE,"rent roll";#N/A,#N/A,FALSE,"96noleaseup";#N/A,#N/A,FALSE,"96noleaseup matrix";#N/A,#N/A,FALSE,"leaseup 96";#N/A,#N/A,FALSE,"leaseup 96 matrix";#N/A,#N/A,FALSE,"Leaseup and Exp."}</definedName>
    <definedName name="ffyyykkk_1" hidden="1">{#N/A,#N/A,FALSE,"I&amp;E";#N/A,#N/A,FALSE,"rent roll";#N/A,#N/A,FALSE,"96noleaseup";#N/A,#N/A,FALSE,"96noleaseup matrix";#N/A,#N/A,FALSE,"leaseup 96";#N/A,#N/A,FALSE,"leaseup 96 matrix";#N/A,#N/A,FALSE,"Leaseup and Exp."}</definedName>
    <definedName name="fgds" hidden="1">{#N/A,#N/A,FALSE,"I&amp;E";#N/A,#N/A,FALSE,"rent roll";#N/A,#N/A,FALSE,"96noleaseup";#N/A,#N/A,FALSE,"96noleaseup matrix";#N/A,#N/A,FALSE,"leaseup 96";#N/A,#N/A,FALSE,"leaseup 96 matrix";#N/A,#N/A,FALSE,"Leaseup and Exp."}</definedName>
    <definedName name="fgds_1" hidden="1">{#N/A,#N/A,FALSE,"I&amp;E";#N/A,#N/A,FALSE,"rent roll";#N/A,#N/A,FALSE,"96noleaseup";#N/A,#N/A,FALSE,"96noleaseup matrix";#N/A,#N/A,FALSE,"leaseup 96";#N/A,#N/A,FALSE,"leaseup 96 matrix";#N/A,#N/A,FALSE,"Leaseup and Exp."}</definedName>
    <definedName name="fgdsfg" hidden="1">{#N/A,#N/A,FALSE,"I&amp;E";#N/A,#N/A,FALSE,"rent roll";#N/A,#N/A,FALSE,"96noleaseup";#N/A,#N/A,FALSE,"96noleaseup matrix";#N/A,#N/A,FALSE,"leaseup 96";#N/A,#N/A,FALSE,"leaseup 96 matrix";#N/A,#N/A,FALSE,"Leaseup and Exp."}</definedName>
    <definedName name="fgdsfg_1" hidden="1">{#N/A,#N/A,FALSE,"I&amp;E";#N/A,#N/A,FALSE,"rent roll";#N/A,#N/A,FALSE,"96noleaseup";#N/A,#N/A,FALSE,"96noleaseup matrix";#N/A,#N/A,FALSE,"leaseup 96";#N/A,#N/A,FALSE,"leaseup 96 matrix";#N/A,#N/A,FALSE,"Leaseup and Exp."}</definedName>
    <definedName name="fgdsg" hidden="1">{#N/A,#N/A,FALSE,"I&amp;E";#N/A,#N/A,FALSE,"rent roll";#N/A,#N/A,FALSE,"96noleaseup";#N/A,#N/A,FALSE,"96noleaseup matrix";#N/A,#N/A,FALSE,"leaseup 96";#N/A,#N/A,FALSE,"leaseup 96 matrix";#N/A,#N/A,FALSE,"Leaseup and Exp."}</definedName>
    <definedName name="fgdsg_1" hidden="1">{#N/A,#N/A,FALSE,"I&amp;E";#N/A,#N/A,FALSE,"rent roll";#N/A,#N/A,FALSE,"96noleaseup";#N/A,#N/A,FALSE,"96noleaseup matrix";#N/A,#N/A,FALSE,"leaseup 96";#N/A,#N/A,FALSE,"leaseup 96 matrix";#N/A,#N/A,FALSE,"Leaseup and Exp."}</definedName>
    <definedName name="fghdr" hidden="1">{#N/A,#N/A,FALSE,"I&amp;E";#N/A,#N/A,FALSE,"rent roll";#N/A,#N/A,FALSE,"96noleaseup";#N/A,#N/A,FALSE,"96noleaseup matrix";#N/A,#N/A,FALSE,"leaseup 96";#N/A,#N/A,FALSE,"leaseup 96 matrix";#N/A,#N/A,FALSE,"Leaseup and Exp."}</definedName>
    <definedName name="fghdr_1" hidden="1">{#N/A,#N/A,FALSE,"I&amp;E";#N/A,#N/A,FALSE,"rent roll";#N/A,#N/A,FALSE,"96noleaseup";#N/A,#N/A,FALSE,"96noleaseup matrix";#N/A,#N/A,FALSE,"leaseup 96";#N/A,#N/A,FALSE,"leaseup 96 matrix";#N/A,#N/A,FALSE,"Leaseup and Exp."}</definedName>
    <definedName name="fghfh" hidden="1">{#N/A,#N/A,FALSE,"I&amp;E";#N/A,#N/A,FALSE,"rent roll";#N/A,#N/A,FALSE,"96noleaseup";#N/A,#N/A,FALSE,"96noleaseup matrix";#N/A,#N/A,FALSE,"leaseup 96";#N/A,#N/A,FALSE,"leaseup 96 matrix";#N/A,#N/A,FALSE,"Leaseup and Exp."}</definedName>
    <definedName name="fghfh_1" hidden="1">{#N/A,#N/A,FALSE,"I&amp;E";#N/A,#N/A,FALSE,"rent roll";#N/A,#N/A,FALSE,"96noleaseup";#N/A,#N/A,FALSE,"96noleaseup matrix";#N/A,#N/A,FALSE,"leaseup 96";#N/A,#N/A,FALSE,"leaseup 96 matrix";#N/A,#N/A,FALSE,"Leaseup and Exp."}</definedName>
    <definedName name="fghjyf" hidden="1">{#N/A,#N/A,FALSE,"I&amp;E";#N/A,#N/A,FALSE,"rent roll";#N/A,#N/A,FALSE,"96noleaseup";#N/A,#N/A,FALSE,"96noleaseup matrix";#N/A,#N/A,FALSE,"leaseup 96";#N/A,#N/A,FALSE,"leaseup 96 matrix";#N/A,#N/A,FALSE,"Leaseup and Exp."}</definedName>
    <definedName name="fghjyf_1" hidden="1">{#N/A,#N/A,FALSE,"I&amp;E";#N/A,#N/A,FALSE,"rent roll";#N/A,#N/A,FALSE,"96noleaseup";#N/A,#N/A,FALSE,"96noleaseup matrix";#N/A,#N/A,FALSE,"leaseup 96";#N/A,#N/A,FALSE,"leaseup 96 matrix";#N/A,#N/A,FALSE,"Leaseup and Exp."}</definedName>
    <definedName name="fgsdfg" hidden="1">{#N/A,#N/A,FALSE,"I&amp;E";#N/A,#N/A,FALSE,"rent roll";#N/A,#N/A,FALSE,"96noleaseup";#N/A,#N/A,FALSE,"96noleaseup matrix";#N/A,#N/A,FALSE,"leaseup 96";#N/A,#N/A,FALSE,"leaseup 96 matrix";#N/A,#N/A,FALSE,"Leaseup and Exp."}</definedName>
    <definedName name="fgsdfg_1" hidden="1">{#N/A,#N/A,FALSE,"I&amp;E";#N/A,#N/A,FALSE,"rent roll";#N/A,#N/A,FALSE,"96noleaseup";#N/A,#N/A,FALSE,"96noleaseup matrix";#N/A,#N/A,FALSE,"leaseup 96";#N/A,#N/A,FALSE,"leaseup 96 matrix";#N/A,#N/A,FALSE,"Leaseup and Exp."}</definedName>
    <definedName name="fgsfdg" hidden="1">{#N/A,#N/A,FALSE,"I&amp;E";#N/A,#N/A,FALSE,"rent roll";#N/A,#N/A,FALSE,"96noleaseup";#N/A,#N/A,FALSE,"96noleaseup matrix";#N/A,#N/A,FALSE,"leaseup 96";#N/A,#N/A,FALSE,"leaseup 96 matrix";#N/A,#N/A,FALSE,"Leaseup and Exp."}</definedName>
    <definedName name="fgsfdg_1" hidden="1">{#N/A,#N/A,FALSE,"I&amp;E";#N/A,#N/A,FALSE,"rent roll";#N/A,#N/A,FALSE,"96noleaseup";#N/A,#N/A,FALSE,"96noleaseup matrix";#N/A,#N/A,FALSE,"leaseup 96";#N/A,#N/A,FALSE,"leaseup 96 matrix";#N/A,#N/A,FALSE,"Leaseup and Exp."}</definedName>
    <definedName name="fhdgh" hidden="1">{#N/A,#N/A,FALSE,"I&amp;E";#N/A,#N/A,FALSE,"rent roll";#N/A,#N/A,FALSE,"96noleaseup";#N/A,#N/A,FALSE,"96noleaseup matrix";#N/A,#N/A,FALSE,"leaseup 96";#N/A,#N/A,FALSE,"leaseup 96 matrix";#N/A,#N/A,FALSE,"Leaseup and Exp."}</definedName>
    <definedName name="fhdgh_1" hidden="1">{#N/A,#N/A,FALSE,"I&amp;E";#N/A,#N/A,FALSE,"rent roll";#N/A,#N/A,FALSE,"96noleaseup";#N/A,#N/A,FALSE,"96noleaseup matrix";#N/A,#N/A,FALSE,"leaseup 96";#N/A,#N/A,FALSE,"leaseup 96 matrix";#N/A,#N/A,FALSE,"Leaseup and Exp."}</definedName>
    <definedName name="fhdsfh" hidden="1">{#N/A,#N/A,FALSE,"I&amp;E";#N/A,#N/A,FALSE,"rent roll";#N/A,#N/A,FALSE,"96noleaseup";#N/A,#N/A,FALSE,"96noleaseup matrix";#N/A,#N/A,FALSE,"leaseup 96";#N/A,#N/A,FALSE,"leaseup 96 matrix";#N/A,#N/A,FALSE,"Leaseup and Exp."}</definedName>
    <definedName name="fhdsfh_1" hidden="1">{#N/A,#N/A,FALSE,"I&amp;E";#N/A,#N/A,FALSE,"rent roll";#N/A,#N/A,FALSE,"96noleaseup";#N/A,#N/A,FALSE,"96noleaseup matrix";#N/A,#N/A,FALSE,"leaseup 96";#N/A,#N/A,FALSE,"leaseup 96 matrix";#N/A,#N/A,FALSE,"Leaseup and Exp."}</definedName>
    <definedName name="fhhssffd" hidden="1">{#N/A,#N/A,TRUE,"Summary";#N/A,#N/A,TRUE,"Large Rev";#N/A,#N/A,TRUE,"Mid Rev";#N/A,#N/A,TRUE,"Small Rev";#N/A,#N/A,TRUE,"Stud Rev";#N/A,#N/A,TRUE,"Salaries";#N/A,#N/A,TRUE,"Adm &amp; Fin"}</definedName>
    <definedName name="fhhssffd_1" hidden="1">{#N/A,#N/A,TRUE,"Summary";#N/A,#N/A,TRUE,"Large Rev";#N/A,#N/A,TRUE,"Mid Rev";#N/A,#N/A,TRUE,"Small Rev";#N/A,#N/A,TRUE,"Stud Rev";#N/A,#N/A,TRUE,"Salaries";#N/A,#N/A,TRUE,"Adm &amp; Fin"}</definedName>
    <definedName name="fhjfgyjf" hidden="1">{#N/A,#N/A,FALSE,"I&amp;E";#N/A,#N/A,FALSE,"rent roll";#N/A,#N/A,FALSE,"96noleaseup";#N/A,#N/A,FALSE,"96noleaseup matrix";#N/A,#N/A,FALSE,"leaseup 96";#N/A,#N/A,FALSE,"leaseup 96 matrix";#N/A,#N/A,FALSE,"Leaseup and Exp."}</definedName>
    <definedName name="fhjfgyjf_1" hidden="1">{#N/A,#N/A,FALSE,"I&amp;E";#N/A,#N/A,FALSE,"rent roll";#N/A,#N/A,FALSE,"96noleaseup";#N/A,#N/A,FALSE,"96noleaseup matrix";#N/A,#N/A,FALSE,"leaseup 96";#N/A,#N/A,FALSE,"leaseup 96 matrix";#N/A,#N/A,FALSE,"Leaseup and Exp."}</definedName>
    <definedName name="fhjkfff" hidden="1">{#N/A,#N/A,TRUE,"Summary";#N/A,#N/A,TRUE,"Large Rev";#N/A,#N/A,TRUE,"Mid Rev";#N/A,#N/A,TRUE,"Small Rev";#N/A,#N/A,TRUE,"Stud Rev";#N/A,#N/A,TRUE,"Salaries";#N/A,#N/A,TRUE,"Adm &amp; Fin"}</definedName>
    <definedName name="fhjkfff_1" hidden="1">{#N/A,#N/A,TRUE,"Summary";#N/A,#N/A,TRUE,"Large Rev";#N/A,#N/A,TRUE,"Mid Rev";#N/A,#N/A,TRUE,"Small Rev";#N/A,#N/A,TRUE,"Stud Rev";#N/A,#N/A,TRUE,"Salaries";#N/A,#N/A,TRUE,"Adm &amp; Fin"}</definedName>
    <definedName name="fjhsfhjsfhsr" hidden="1">{#N/A,#N/A,FALSE,"I&amp;E";#N/A,#N/A,FALSE,"rent roll";#N/A,#N/A,FALSE,"96noleaseup";#N/A,#N/A,FALSE,"96noleaseup matrix";#N/A,#N/A,FALSE,"leaseup 96";#N/A,#N/A,FALSE,"leaseup 96 matrix";#N/A,#N/A,FALSE,"Leaseup and Exp."}</definedName>
    <definedName name="fjhsfhjsfhsr_1" hidden="1">{#N/A,#N/A,FALSE,"I&amp;E";#N/A,#N/A,FALSE,"rent roll";#N/A,#N/A,FALSE,"96noleaseup";#N/A,#N/A,FALSE,"96noleaseup matrix";#N/A,#N/A,FALSE,"leaseup 96";#N/A,#N/A,FALSE,"leaseup 96 matrix";#N/A,#N/A,FALSE,"Leaseup and Exp."}</definedName>
    <definedName name="fkfk" hidden="1">{#N/A,#N/A,FALSE,"I&amp;E";#N/A,#N/A,FALSE,"rent roll";#N/A,#N/A,FALSE,"96noleaseup";#N/A,#N/A,FALSE,"96noleaseup matrix";#N/A,#N/A,FALSE,"leaseup 96";#N/A,#N/A,FALSE,"leaseup 96 matrix";#N/A,#N/A,FALSE,"Leaseup and Exp."}</definedName>
    <definedName name="fkfk_1" hidden="1">{#N/A,#N/A,FALSE,"I&amp;E";#N/A,#N/A,FALSE,"rent roll";#N/A,#N/A,FALSE,"96noleaseup";#N/A,#N/A,FALSE,"96noleaseup matrix";#N/A,#N/A,FALSE,"leaseup 96";#N/A,#N/A,FALSE,"leaseup 96 matrix";#N/A,#N/A,FALSE,"Leaseup and Exp."}</definedName>
    <definedName name="fkfkd" hidden="1">{#N/A,#N/A,FALSE,"I&amp;E";#N/A,#N/A,FALSE,"rent roll";#N/A,#N/A,FALSE,"96noleaseup";#N/A,#N/A,FALSE,"96noleaseup matrix";#N/A,#N/A,FALSE,"leaseup 96";#N/A,#N/A,FALSE,"leaseup 96 matrix";#N/A,#N/A,FALSE,"Leaseup and Exp."}</definedName>
    <definedName name="fkfkd_1" hidden="1">{#N/A,#N/A,FALSE,"I&amp;E";#N/A,#N/A,FALSE,"rent roll";#N/A,#N/A,FALSE,"96noleaseup";#N/A,#N/A,FALSE,"96noleaseup matrix";#N/A,#N/A,FALSE,"leaseup 96";#N/A,#N/A,FALSE,"leaseup 96 matrix";#N/A,#N/A,FALSE,"Leaseup and Exp."}</definedName>
    <definedName name="fkfkfkfr" hidden="1">{#N/A,#N/A,FALSE,"I&amp;E";#N/A,#N/A,FALSE,"rent roll";#N/A,#N/A,FALSE,"96noleaseup";#N/A,#N/A,FALSE,"96noleaseup matrix";#N/A,#N/A,FALSE,"leaseup 96";#N/A,#N/A,FALSE,"leaseup 96 matrix";#N/A,#N/A,FALSE,"Leaseup and Exp."}</definedName>
    <definedName name="fkfkfkfr_1" hidden="1">{#N/A,#N/A,FALSE,"I&amp;E";#N/A,#N/A,FALSE,"rent roll";#N/A,#N/A,FALSE,"96noleaseup";#N/A,#N/A,FALSE,"96noleaseup matrix";#N/A,#N/A,FALSE,"leaseup 96";#N/A,#N/A,FALSE,"leaseup 96 matrix";#N/A,#N/A,FALSE,"Leaseup and Exp."}</definedName>
    <definedName name="fkfty" hidden="1">{#N/A,#N/A,FALSE,"I&amp;E";#N/A,#N/A,FALSE,"rent roll";#N/A,#N/A,FALSE,"96noleaseup";#N/A,#N/A,FALSE,"96noleaseup matrix";#N/A,#N/A,FALSE,"leaseup 96";#N/A,#N/A,FALSE,"leaseup 96 matrix";#N/A,#N/A,FALSE,"Leaseup and Exp."}</definedName>
    <definedName name="fkfty_1" hidden="1">{#N/A,#N/A,FALSE,"I&amp;E";#N/A,#N/A,FALSE,"rent roll";#N/A,#N/A,FALSE,"96noleaseup";#N/A,#N/A,FALSE,"96noleaseup matrix";#N/A,#N/A,FALSE,"leaseup 96";#N/A,#N/A,FALSE,"leaseup 96 matrix";#N/A,#N/A,FALSE,"Leaseup and Exp."}</definedName>
    <definedName name="fkhgff" hidden="1">{#N/A,#N/A,FALSE,"I&amp;E";#N/A,#N/A,FALSE,"rent roll";#N/A,#N/A,FALSE,"96noleaseup";#N/A,#N/A,FALSE,"96noleaseup matrix";#N/A,#N/A,FALSE,"leaseup 96";#N/A,#N/A,FALSE,"leaseup 96 matrix";#N/A,#N/A,FALSE,"Leaseup and Exp."}</definedName>
    <definedName name="fkhgff_1" hidden="1">{#N/A,#N/A,FALSE,"I&amp;E";#N/A,#N/A,FALSE,"rent roll";#N/A,#N/A,FALSE,"96noleaseup";#N/A,#N/A,FALSE,"96noleaseup matrix";#N/A,#N/A,FALSE,"leaseup 96";#N/A,#N/A,FALSE,"leaseup 96 matrix";#N/A,#N/A,FALSE,"Leaseup and Exp."}</definedName>
    <definedName name="fkkghfff" hidden="1">{#N/A,#N/A,FALSE,"I&amp;E";#N/A,#N/A,FALSE,"rent roll";#N/A,#N/A,FALSE,"96noleaseup";#N/A,#N/A,FALSE,"96noleaseup matrix";#N/A,#N/A,FALSE,"leaseup 96";#N/A,#N/A,FALSE,"leaseup 96 matrix";#N/A,#N/A,FALSE,"Leaseup and Exp."}</definedName>
    <definedName name="fkkghfff_1" hidden="1">{#N/A,#N/A,FALSE,"I&amp;E";#N/A,#N/A,FALSE,"rent roll";#N/A,#N/A,FALSE,"96noleaseup";#N/A,#N/A,FALSE,"96noleaseup matrix";#N/A,#N/A,FALSE,"leaseup 96";#N/A,#N/A,FALSE,"leaseup 96 matrix";#N/A,#N/A,FALSE,"Leaseup and Exp."}</definedName>
    <definedName name="flhgjlg" hidden="1">{#N/A,#N/A,FALSE,"I&amp;E";#N/A,#N/A,FALSE,"rent roll";#N/A,#N/A,FALSE,"96noleaseup";#N/A,#N/A,FALSE,"96noleaseup matrix";#N/A,#N/A,FALSE,"leaseup 96";#N/A,#N/A,FALSE,"leaseup 96 matrix";#N/A,#N/A,FALSE,"Leaseup and Exp."}</definedName>
    <definedName name="flhgjlg_1" hidden="1">{#N/A,#N/A,FALSE,"I&amp;E";#N/A,#N/A,FALSE,"rent roll";#N/A,#N/A,FALSE,"96noleaseup";#N/A,#N/A,FALSE,"96noleaseup matrix";#N/A,#N/A,FALSE,"leaseup 96";#N/A,#N/A,FALSE,"leaseup 96 matrix";#N/A,#N/A,FALSE,"Leaseup and Exp."}</definedName>
    <definedName name="fsdfdd" hidden="1">{#N/A,#N/A,FALSE,"I&amp;E";#N/A,#N/A,FALSE,"rent roll";#N/A,#N/A,FALSE,"96noleaseup";#N/A,#N/A,FALSE,"96noleaseup matrix";#N/A,#N/A,FALSE,"leaseup 96";#N/A,#N/A,FALSE,"leaseup 96 matrix";#N/A,#N/A,FALSE,"Leaseup and Exp."}</definedName>
    <definedName name="fsdfdd_1" hidden="1">{#N/A,#N/A,FALSE,"I&amp;E";#N/A,#N/A,FALSE,"rent roll";#N/A,#N/A,FALSE,"96noleaseup";#N/A,#N/A,FALSE,"96noleaseup matrix";#N/A,#N/A,FALSE,"leaseup 96";#N/A,#N/A,FALSE,"leaseup 96 matrix";#N/A,#N/A,FALSE,"Leaseup and Exp."}</definedName>
    <definedName name="fsfdg" hidden="1">{#N/A,#N/A,FALSE,"I&amp;E";#N/A,#N/A,FALSE,"rent roll";#N/A,#N/A,FALSE,"96noleaseup";#N/A,#N/A,FALSE,"96noleaseup matrix";#N/A,#N/A,FALSE,"leaseup 96";#N/A,#N/A,FALSE,"leaseup 96 matrix";#N/A,#N/A,FALSE,"Leaseup and Exp."}</definedName>
    <definedName name="fsfdg_1" hidden="1">{#N/A,#N/A,FALSE,"I&amp;E";#N/A,#N/A,FALSE,"rent roll";#N/A,#N/A,FALSE,"96noleaseup";#N/A,#N/A,FALSE,"96noleaseup matrix";#N/A,#N/A,FALSE,"leaseup 96";#N/A,#N/A,FALSE,"leaseup 96 matrix";#N/A,#N/A,FALSE,"Leaseup and Exp."}</definedName>
    <definedName name="fttyyuj" hidden="1">{#N/A,#N/A,FALSE,"I&amp;E";#N/A,#N/A,FALSE,"rent roll";#N/A,#N/A,FALSE,"96noleaseup";#N/A,#N/A,FALSE,"96noleaseup matrix";#N/A,#N/A,FALSE,"leaseup 96";#N/A,#N/A,FALSE,"leaseup 96 matrix";#N/A,#N/A,FALSE,"Leaseup and Exp."}</definedName>
    <definedName name="fttyyuj_1" hidden="1">{#N/A,#N/A,FALSE,"I&amp;E";#N/A,#N/A,FALSE,"rent roll";#N/A,#N/A,FALSE,"96noleaseup";#N/A,#N/A,FALSE,"96noleaseup matrix";#N/A,#N/A,FALSE,"leaseup 96";#N/A,#N/A,FALSE,"leaseup 96 matrix";#N/A,#N/A,FALSE,"Leaseup and Exp."}</definedName>
    <definedName name="fuyo" hidden="1">{#N/A,#N/A,FALSE,"I&amp;E";#N/A,#N/A,FALSE,"rent roll";#N/A,#N/A,FALSE,"96noleaseup";#N/A,#N/A,FALSE,"96noleaseup matrix";#N/A,#N/A,FALSE,"leaseup 96";#N/A,#N/A,FALSE,"leaseup 96 matrix";#N/A,#N/A,FALSE,"Leaseup and Exp."}</definedName>
    <definedName name="fuyo_1" hidden="1">{#N/A,#N/A,FALSE,"I&amp;E";#N/A,#N/A,FALSE,"rent roll";#N/A,#N/A,FALSE,"96noleaseup";#N/A,#N/A,FALSE,"96noleaseup matrix";#N/A,#N/A,FALSE,"leaseup 96";#N/A,#N/A,FALSE,"leaseup 96 matrix";#N/A,#N/A,FALSE,"Leaseup and Exp."}</definedName>
    <definedName name="garage" hidden="1">#REF!</definedName>
    <definedName name="gdfdgf" hidden="1">#REF!</definedName>
    <definedName name="gdfgfgd" hidden="1">{#N/A,#N/A,TRUE,"Summary";#N/A,#N/A,TRUE,"Large Rev";#N/A,#N/A,TRUE,"Mid Rev";#N/A,#N/A,TRUE,"Small Rev";#N/A,#N/A,TRUE,"Stud Rev";#N/A,#N/A,TRUE,"Salaries";#N/A,#N/A,TRUE,"Adm &amp; Fin"}</definedName>
    <definedName name="gdfgfgd_1" hidden="1">{#N/A,#N/A,TRUE,"Summary";#N/A,#N/A,TRUE,"Large Rev";#N/A,#N/A,TRUE,"Mid Rev";#N/A,#N/A,TRUE,"Small Rev";#N/A,#N/A,TRUE,"Stud Rev";#N/A,#N/A,TRUE,"Salaries";#N/A,#N/A,TRUE,"Adm &amp; Fin"}</definedName>
    <definedName name="gdfghd" hidden="1">{#N/A,#N/A,FALSE,"I&amp;E";#N/A,#N/A,FALSE,"rent roll";#N/A,#N/A,FALSE,"96noleaseup";#N/A,#N/A,FALSE,"96noleaseup matrix";#N/A,#N/A,FALSE,"leaseup 96";#N/A,#N/A,FALSE,"leaseup 96 matrix";#N/A,#N/A,FALSE,"Leaseup and Exp."}</definedName>
    <definedName name="gdfghd_1" hidden="1">{#N/A,#N/A,FALSE,"I&amp;E";#N/A,#N/A,FALSE,"rent roll";#N/A,#N/A,FALSE,"96noleaseup";#N/A,#N/A,FALSE,"96noleaseup matrix";#N/A,#N/A,FALSE,"leaseup 96";#N/A,#N/A,FALSE,"leaseup 96 matrix";#N/A,#N/A,FALSE,"Leaseup and Exp."}</definedName>
    <definedName name="gdhfghd" hidden="1">{#N/A,#N/A,FALSE,"I&amp;E";#N/A,#N/A,FALSE,"rent roll";#N/A,#N/A,FALSE,"96noleaseup";#N/A,#N/A,FALSE,"96noleaseup matrix";#N/A,#N/A,FALSE,"leaseup 96";#N/A,#N/A,FALSE,"leaseup 96 matrix";#N/A,#N/A,FALSE,"Leaseup and Exp."}</definedName>
    <definedName name="gdhfghd_1" hidden="1">{#N/A,#N/A,FALSE,"I&amp;E";#N/A,#N/A,FALSE,"rent roll";#N/A,#N/A,FALSE,"96noleaseup";#N/A,#N/A,FALSE,"96noleaseup matrix";#N/A,#N/A,FALSE,"leaseup 96";#N/A,#N/A,FALSE,"leaseup 96 matrix";#N/A,#N/A,FALSE,"Leaseup and Exp."}</definedName>
    <definedName name="gfadsgds" hidden="1">{#N/A,#N/A,FALSE,"I&amp;E";#N/A,#N/A,FALSE,"rent roll";#N/A,#N/A,FALSE,"96noleaseup";#N/A,#N/A,FALSE,"96noleaseup matrix";#N/A,#N/A,FALSE,"leaseup 96";#N/A,#N/A,FALSE,"leaseup 96 matrix";#N/A,#N/A,FALSE,"Leaseup and Exp."}</definedName>
    <definedName name="gfadsgds_1" hidden="1">{#N/A,#N/A,FALSE,"I&amp;E";#N/A,#N/A,FALSE,"rent roll";#N/A,#N/A,FALSE,"96noleaseup";#N/A,#N/A,FALSE,"96noleaseup matrix";#N/A,#N/A,FALSE,"leaseup 96";#N/A,#N/A,FALSE,"leaseup 96 matrix";#N/A,#N/A,FALSE,"Leaseup and Exp."}</definedName>
    <definedName name="gfdfgsf" hidden="1">{#N/A,#N/A,FALSE,"I&amp;E";#N/A,#N/A,FALSE,"rent roll";#N/A,#N/A,FALSE,"96noleaseup";#N/A,#N/A,FALSE,"96noleaseup matrix";#N/A,#N/A,FALSE,"leaseup 96";#N/A,#N/A,FALSE,"leaseup 96 matrix";#N/A,#N/A,FALSE,"Leaseup and Exp."}</definedName>
    <definedName name="gfdfgsf_1" hidden="1">{#N/A,#N/A,FALSE,"I&amp;E";#N/A,#N/A,FALSE,"rent roll";#N/A,#N/A,FALSE,"96noleaseup";#N/A,#N/A,FALSE,"96noleaseup matrix";#N/A,#N/A,FALSE,"leaseup 96";#N/A,#N/A,FALSE,"leaseup 96 matrix";#N/A,#N/A,FALSE,"Leaseup and Exp."}</definedName>
    <definedName name="gfdhfgh" hidden="1">{#N/A,#N/A,FALSE,"I&amp;E";#N/A,#N/A,FALSE,"rent roll";#N/A,#N/A,FALSE,"96noleaseup";#N/A,#N/A,FALSE,"96noleaseup matrix";#N/A,#N/A,FALSE,"leaseup 96";#N/A,#N/A,FALSE,"leaseup 96 matrix";#N/A,#N/A,FALSE,"Leaseup and Exp."}</definedName>
    <definedName name="gfdhfgh_1" hidden="1">{#N/A,#N/A,FALSE,"I&amp;E";#N/A,#N/A,FALSE,"rent roll";#N/A,#N/A,FALSE,"96noleaseup";#N/A,#N/A,FALSE,"96noleaseup matrix";#N/A,#N/A,FALSE,"leaseup 96";#N/A,#N/A,FALSE,"leaseup 96 matrix";#N/A,#N/A,FALSE,"Leaseup and Exp."}</definedName>
    <definedName name="gfdhh" hidden="1">{"Summary",#N/A,TRUE,"Fin. Summary";"Payroll",#N/A,TRUE,"Staffing";"Personnel Phasing",#N/A,TRUE,"Staffing"}</definedName>
    <definedName name="gfdhh_1" hidden="1">{"Summary",#N/A,TRUE,"Fin. Summary";"Payroll",#N/A,TRUE,"Staffing";"Personnel Phasing",#N/A,TRUE,"Staffing"}</definedName>
    <definedName name="gfdjf" hidden="1">{#N/A,#N/A,FALSE,"I&amp;E";#N/A,#N/A,FALSE,"rent roll";#N/A,#N/A,FALSE,"96noleaseup";#N/A,#N/A,FALSE,"96noleaseup matrix";#N/A,#N/A,FALSE,"leaseup 96";#N/A,#N/A,FALSE,"leaseup 96 matrix";#N/A,#N/A,FALSE,"Leaseup and Exp."}</definedName>
    <definedName name="gfdjf_1" hidden="1">{#N/A,#N/A,FALSE,"I&amp;E";#N/A,#N/A,FALSE,"rent roll";#N/A,#N/A,FALSE,"96noleaseup";#N/A,#N/A,FALSE,"96noleaseup matrix";#N/A,#N/A,FALSE,"leaseup 96";#N/A,#N/A,FALSE,"leaseup 96 matrix";#N/A,#N/A,FALSE,"Leaseup and Exp."}</definedName>
    <definedName name="gfdsgds" hidden="1">{#N/A,#N/A,FALSE,"I&amp;E";#N/A,#N/A,FALSE,"rent roll";#N/A,#N/A,FALSE,"96noleaseup";#N/A,#N/A,FALSE,"96noleaseup matrix";#N/A,#N/A,FALSE,"leaseup 96";#N/A,#N/A,FALSE,"leaseup 96 matrix";#N/A,#N/A,FALSE,"Leaseup and Exp."}</definedName>
    <definedName name="gfdsgds_1" hidden="1">{#N/A,#N/A,FALSE,"I&amp;E";#N/A,#N/A,FALSE,"rent roll";#N/A,#N/A,FALSE,"96noleaseup";#N/A,#N/A,FALSE,"96noleaseup matrix";#N/A,#N/A,FALSE,"leaseup 96";#N/A,#N/A,FALSE,"leaseup 96 matrix";#N/A,#N/A,FALSE,"Leaseup and Exp."}</definedName>
    <definedName name="gfhdgh" hidden="1">{#N/A,#N/A,FALSE,"I&amp;E";#N/A,#N/A,FALSE,"rent roll";#N/A,#N/A,FALSE,"96noleaseup";#N/A,#N/A,FALSE,"96noleaseup matrix";#N/A,#N/A,FALSE,"leaseup 96";#N/A,#N/A,FALSE,"leaseup 96 matrix";#N/A,#N/A,FALSE,"Leaseup and Exp."}</definedName>
    <definedName name="gfhdgh_1" hidden="1">{#N/A,#N/A,FALSE,"I&amp;E";#N/A,#N/A,FALSE,"rent roll";#N/A,#N/A,FALSE,"96noleaseup";#N/A,#N/A,FALSE,"96noleaseup matrix";#N/A,#N/A,FALSE,"leaseup 96";#N/A,#N/A,FALSE,"leaseup 96 matrix";#N/A,#N/A,FALSE,"Leaseup and Exp."}</definedName>
    <definedName name="gfhdghdf" hidden="1">{#N/A,#N/A,FALSE,"I&amp;E";#N/A,#N/A,FALSE,"rent roll";#N/A,#N/A,FALSE,"96noleaseup";#N/A,#N/A,FALSE,"96noleaseup matrix";#N/A,#N/A,FALSE,"leaseup 96";#N/A,#N/A,FALSE,"leaseup 96 matrix";#N/A,#N/A,FALSE,"Leaseup and Exp."}</definedName>
    <definedName name="gfhdghdf_1" hidden="1">{#N/A,#N/A,FALSE,"I&amp;E";#N/A,#N/A,FALSE,"rent roll";#N/A,#N/A,FALSE,"96noleaseup";#N/A,#N/A,FALSE,"96noleaseup matrix";#N/A,#N/A,FALSE,"leaseup 96";#N/A,#N/A,FALSE,"leaseup 96 matrix";#N/A,#N/A,FALSE,"Leaseup and Exp."}</definedName>
    <definedName name="gfhdjdj" hidden="1">{#N/A,#N/A,FALSE,"I&amp;E";#N/A,#N/A,FALSE,"rent roll";#N/A,#N/A,FALSE,"96noleaseup";#N/A,#N/A,FALSE,"96noleaseup matrix";#N/A,#N/A,FALSE,"leaseup 96";#N/A,#N/A,FALSE,"leaseup 96 matrix";#N/A,#N/A,FALSE,"Leaseup and Exp."}</definedName>
    <definedName name="gfhdjdj_1" hidden="1">{#N/A,#N/A,FALSE,"I&amp;E";#N/A,#N/A,FALSE,"rent roll";#N/A,#N/A,FALSE,"96noleaseup";#N/A,#N/A,FALSE,"96noleaseup matrix";#N/A,#N/A,FALSE,"leaseup 96";#N/A,#N/A,FALSE,"leaseup 96 matrix";#N/A,#N/A,FALSE,"Leaseup and Exp."}</definedName>
    <definedName name="gfjdgj" hidden="1">{#N/A,#N/A,FALSE,"I&amp;E";#N/A,#N/A,FALSE,"rent roll";#N/A,#N/A,FALSE,"96noleaseup";#N/A,#N/A,FALSE,"96noleaseup matrix";#N/A,#N/A,FALSE,"leaseup 96";#N/A,#N/A,FALSE,"leaseup 96 matrix";#N/A,#N/A,FALSE,"Leaseup and Exp."}</definedName>
    <definedName name="gfjdgj_1" hidden="1">{#N/A,#N/A,FALSE,"I&amp;E";#N/A,#N/A,FALSE,"rent roll";#N/A,#N/A,FALSE,"96noleaseup";#N/A,#N/A,FALSE,"96noleaseup matrix";#N/A,#N/A,FALSE,"leaseup 96";#N/A,#N/A,FALSE,"leaseup 96 matrix";#N/A,#N/A,FALSE,"Leaseup and Exp."}</definedName>
    <definedName name="gfjdtj" hidden="1">{#N/A,#N/A,FALSE,"I&amp;E";#N/A,#N/A,FALSE,"rent roll";#N/A,#N/A,FALSE,"96noleaseup";#N/A,#N/A,FALSE,"96noleaseup matrix";#N/A,#N/A,FALSE,"leaseup 96";#N/A,#N/A,FALSE,"leaseup 96 matrix";#N/A,#N/A,FALSE,"Leaseup and Exp."}</definedName>
    <definedName name="gfjdtj_1" hidden="1">{#N/A,#N/A,FALSE,"I&amp;E";#N/A,#N/A,FALSE,"rent roll";#N/A,#N/A,FALSE,"96noleaseup";#N/A,#N/A,FALSE,"96noleaseup matrix";#N/A,#N/A,FALSE,"leaseup 96";#N/A,#N/A,FALSE,"leaseup 96 matrix";#N/A,#N/A,FALSE,"Leaseup and Exp."}</definedName>
    <definedName name="ggghjfj" hidden="1">{#N/A,#N/A,FALSE,"I&amp;E";#N/A,#N/A,FALSE,"rent roll";#N/A,#N/A,FALSE,"96noleaseup";#N/A,#N/A,FALSE,"96noleaseup matrix";#N/A,#N/A,FALSE,"leaseup 96";#N/A,#N/A,FALSE,"leaseup 96 matrix";#N/A,#N/A,FALSE,"Leaseup and Exp."}</definedName>
    <definedName name="ggghjfj_1" hidden="1">{#N/A,#N/A,FALSE,"I&amp;E";#N/A,#N/A,FALSE,"rent roll";#N/A,#N/A,FALSE,"96noleaseup";#N/A,#N/A,FALSE,"96noleaseup matrix";#N/A,#N/A,FALSE,"leaseup 96";#N/A,#N/A,FALSE,"leaseup 96 matrix";#N/A,#N/A,FALSE,"Leaseup and Exp."}</definedName>
    <definedName name="ggghkk" hidden="1">{#N/A,#N/A,FALSE,"I&amp;E";#N/A,#N/A,FALSE,"rent roll";#N/A,#N/A,FALSE,"96noleaseup";#N/A,#N/A,FALSE,"96noleaseup matrix";#N/A,#N/A,FALSE,"leaseup 96";#N/A,#N/A,FALSE,"leaseup 96 matrix";#N/A,#N/A,FALSE,"Leaseup and Exp."}</definedName>
    <definedName name="ggghkk_1" hidden="1">{#N/A,#N/A,FALSE,"I&amp;E";#N/A,#N/A,FALSE,"rent roll";#N/A,#N/A,FALSE,"96noleaseup";#N/A,#N/A,FALSE,"96noleaseup matrix";#N/A,#N/A,FALSE,"leaseup 96";#N/A,#N/A,FALSE,"leaseup 96 matrix";#N/A,#N/A,FALSE,"Leaseup and Exp."}</definedName>
    <definedName name="gggjjd" hidden="1">{#N/A,#N/A,FALSE,"I&amp;E";#N/A,#N/A,FALSE,"rent roll";#N/A,#N/A,FALSE,"96noleaseup";#N/A,#N/A,FALSE,"96noleaseup matrix";#N/A,#N/A,FALSE,"leaseup 96";#N/A,#N/A,FALSE,"leaseup 96 matrix";#N/A,#N/A,FALSE,"Leaseup and Exp."}</definedName>
    <definedName name="gggjjd_1" hidden="1">{#N/A,#N/A,FALSE,"I&amp;E";#N/A,#N/A,FALSE,"rent roll";#N/A,#N/A,FALSE,"96noleaseup";#N/A,#N/A,FALSE,"96noleaseup matrix";#N/A,#N/A,FALSE,"leaseup 96";#N/A,#N/A,FALSE,"leaseup 96 matrix";#N/A,#N/A,FALSE,"Leaseup and Exp."}</definedName>
    <definedName name="ghfdhg" hidden="1">{#N/A,#N/A,FALSE,"I&amp;E";#N/A,#N/A,FALSE,"rent roll";#N/A,#N/A,FALSE,"96noleaseup";#N/A,#N/A,FALSE,"96noleaseup matrix";#N/A,#N/A,FALSE,"leaseup 96";#N/A,#N/A,FALSE,"leaseup 96 matrix";#N/A,#N/A,FALSE,"Leaseup and Exp."}</definedName>
    <definedName name="ghfdhg_1" hidden="1">{#N/A,#N/A,FALSE,"I&amp;E";#N/A,#N/A,FALSE,"rent roll";#N/A,#N/A,FALSE,"96noleaseup";#N/A,#N/A,FALSE,"96noleaseup matrix";#N/A,#N/A,FALSE,"leaseup 96";#N/A,#N/A,FALSE,"leaseup 96 matrix";#N/A,#N/A,FALSE,"Leaseup and Exp."}</definedName>
    <definedName name="ghkf" hidden="1">{#N/A,#N/A,FALSE,"I&amp;E";#N/A,#N/A,FALSE,"rent roll";#N/A,#N/A,FALSE,"96noleaseup";#N/A,#N/A,FALSE,"96noleaseup matrix";#N/A,#N/A,FALSE,"leaseup 96";#N/A,#N/A,FALSE,"leaseup 96 matrix";#N/A,#N/A,FALSE,"Leaseup and Exp."}</definedName>
    <definedName name="ghkf_1" hidden="1">{#N/A,#N/A,FALSE,"I&amp;E";#N/A,#N/A,FALSE,"rent roll";#N/A,#N/A,FALSE,"96noleaseup";#N/A,#N/A,FALSE,"96noleaseup matrix";#N/A,#N/A,FALSE,"leaseup 96";#N/A,#N/A,FALSE,"leaseup 96 matrix";#N/A,#N/A,FALSE,"Leaseup and Exp."}</definedName>
    <definedName name="ghkjfkh" hidden="1">{#N/A,#N/A,FALSE,"I&amp;E";#N/A,#N/A,FALSE,"rent roll";#N/A,#N/A,FALSE,"96noleaseup";#N/A,#N/A,FALSE,"96noleaseup matrix";#N/A,#N/A,FALSE,"leaseup 96";#N/A,#N/A,FALSE,"leaseup 96 matrix";#N/A,#N/A,FALSE,"Leaseup and Exp."}</definedName>
    <definedName name="ghkjfkh_1" hidden="1">{#N/A,#N/A,FALSE,"I&amp;E";#N/A,#N/A,FALSE,"rent roll";#N/A,#N/A,FALSE,"96noleaseup";#N/A,#N/A,FALSE,"96noleaseup matrix";#N/A,#N/A,FALSE,"leaseup 96";#N/A,#N/A,FALSE,"leaseup 96 matrix";#N/A,#N/A,FALSE,"Leaseup and Exp."}</definedName>
    <definedName name="ghuyfy" hidden="1">{#N/A,#N/A,FALSE,"I&amp;E";#N/A,#N/A,FALSE,"rent roll";#N/A,#N/A,FALSE,"96noleaseup";#N/A,#N/A,FALSE,"96noleaseup matrix";#N/A,#N/A,FALSE,"leaseup 96";#N/A,#N/A,FALSE,"leaseup 96 matrix";#N/A,#N/A,FALSE,"Leaseup and Exp."}</definedName>
    <definedName name="ghuyfy_1" hidden="1">{#N/A,#N/A,FALSE,"I&amp;E";#N/A,#N/A,FALSE,"rent roll";#N/A,#N/A,FALSE,"96noleaseup";#N/A,#N/A,FALSE,"96noleaseup matrix";#N/A,#N/A,FALSE,"leaseup 96";#N/A,#N/A,FALSE,"leaseup 96 matrix";#N/A,#N/A,FALSE,"Leaseup and Exp."}</definedName>
    <definedName name="gjdf" hidden="1">{#N/A,#N/A,TRUE,"Summary";#N/A,#N/A,TRUE,"Large Rev";#N/A,#N/A,TRUE,"Mid Rev";#N/A,#N/A,TRUE,"Small Rev";#N/A,#N/A,TRUE,"Stud Rev";#N/A,#N/A,TRUE,"Salaries";#N/A,#N/A,TRUE,"Adm &amp; Fin"}</definedName>
    <definedName name="gjdf_1" hidden="1">{#N/A,#N/A,TRUE,"Summary";#N/A,#N/A,TRUE,"Large Rev";#N/A,#N/A,TRUE,"Mid Rev";#N/A,#N/A,TRUE,"Small Rev";#N/A,#N/A,TRUE,"Stud Rev";#N/A,#N/A,TRUE,"Salaries";#N/A,#N/A,TRUE,"Adm &amp; Fin"}</definedName>
    <definedName name="gjdgj" hidden="1">{#N/A,#N/A,FALSE,"I&amp;E";#N/A,#N/A,FALSE,"rent roll";#N/A,#N/A,FALSE,"96noleaseup";#N/A,#N/A,FALSE,"96noleaseup matrix";#N/A,#N/A,FALSE,"leaseup 96";#N/A,#N/A,FALSE,"leaseup 96 matrix";#N/A,#N/A,FALSE,"Leaseup and Exp."}</definedName>
    <definedName name="gjdgj_1" hidden="1">{#N/A,#N/A,FALSE,"I&amp;E";#N/A,#N/A,FALSE,"rent roll";#N/A,#N/A,FALSE,"96noleaseup";#N/A,#N/A,FALSE,"96noleaseup matrix";#N/A,#N/A,FALSE,"leaseup 96";#N/A,#N/A,FALSE,"leaseup 96 matrix";#N/A,#N/A,FALSE,"Leaseup and Exp."}</definedName>
    <definedName name="gjkghj" hidden="1">{#N/A,#N/A,FALSE,"I&amp;E";#N/A,#N/A,FALSE,"rent roll";#N/A,#N/A,FALSE,"96noleaseup";#N/A,#N/A,FALSE,"96noleaseup matrix";#N/A,#N/A,FALSE,"leaseup 96";#N/A,#N/A,FALSE,"leaseup 96 matrix";#N/A,#N/A,FALSE,"Leaseup and Exp."}</definedName>
    <definedName name="gjkghj_1" hidden="1">{#N/A,#N/A,FALSE,"I&amp;E";#N/A,#N/A,FALSE,"rent roll";#N/A,#N/A,FALSE,"96noleaseup";#N/A,#N/A,FALSE,"96noleaseup matrix";#N/A,#N/A,FALSE,"leaseup 96";#N/A,#N/A,FALSE,"leaseup 96 matrix";#N/A,#N/A,FALSE,"Leaseup and Exp."}</definedName>
    <definedName name="gsdf" hidden="1">{#N/A,#N/A,FALSE,"I&amp;E";#N/A,#N/A,FALSE,"rent roll";#N/A,#N/A,FALSE,"96noleaseup";#N/A,#N/A,FALSE,"96noleaseup matrix";#N/A,#N/A,FALSE,"leaseup 96";#N/A,#N/A,FALSE,"leaseup 96 matrix";#N/A,#N/A,FALSE,"Leaseup and Exp."}</definedName>
    <definedName name="gsdf_1" hidden="1">{#N/A,#N/A,FALSE,"I&amp;E";#N/A,#N/A,FALSE,"rent roll";#N/A,#N/A,FALSE,"96noleaseup";#N/A,#N/A,FALSE,"96noleaseup matrix";#N/A,#N/A,FALSE,"leaseup 96";#N/A,#N/A,FALSE,"leaseup 96 matrix";#N/A,#N/A,FALSE,"Leaseup and Exp."}</definedName>
    <definedName name="hdfgh" hidden="1">{#N/A,#N/A,FALSE,"I&amp;E";#N/A,#N/A,FALSE,"rent roll";#N/A,#N/A,FALSE,"96noleaseup";#N/A,#N/A,FALSE,"96noleaseup matrix";#N/A,#N/A,FALSE,"leaseup 96";#N/A,#N/A,FALSE,"leaseup 96 matrix";#N/A,#N/A,FALSE,"Leaseup and Exp."}</definedName>
    <definedName name="hdfgh_1" hidden="1">{#N/A,#N/A,FALSE,"I&amp;E";#N/A,#N/A,FALSE,"rent roll";#N/A,#N/A,FALSE,"96noleaseup";#N/A,#N/A,FALSE,"96noleaseup matrix";#N/A,#N/A,FALSE,"leaseup 96";#N/A,#N/A,FALSE,"leaseup 96 matrix";#N/A,#N/A,FALSE,"Leaseup and Exp."}</definedName>
    <definedName name="hdfghd" hidden="1">{#N/A,#N/A,FALSE,"I&amp;E";#N/A,#N/A,FALSE,"rent roll";#N/A,#N/A,FALSE,"96noleaseup";#N/A,#N/A,FALSE,"96noleaseup matrix";#N/A,#N/A,FALSE,"leaseup 96";#N/A,#N/A,FALSE,"leaseup 96 matrix";#N/A,#N/A,FALSE,"Leaseup and Exp."}</definedName>
    <definedName name="hdfghd_1" hidden="1">{#N/A,#N/A,FALSE,"I&amp;E";#N/A,#N/A,FALSE,"rent roll";#N/A,#N/A,FALSE,"96noleaseup";#N/A,#N/A,FALSE,"96noleaseup matrix";#N/A,#N/A,FALSE,"leaseup 96";#N/A,#N/A,FALSE,"leaseup 96 matrix";#N/A,#N/A,FALSE,"Leaseup and Exp."}</definedName>
    <definedName name="hdfsh" hidden="1">{"Summary",#N/A,TRUE,"Fin. Summary";"Payroll",#N/A,TRUE,"Staffing";"Personnel Phasing",#N/A,TRUE,"Staffing"}</definedName>
    <definedName name="hdfsh_1" hidden="1">{"Summary",#N/A,TRUE,"Fin. Summary";"Payroll",#N/A,TRUE,"Staffing";"Personnel Phasing",#N/A,TRUE,"Staffing"}</definedName>
    <definedName name="hfdhsfh" hidden="1">{#N/A,#N/A,FALSE,"I&amp;E";#N/A,#N/A,FALSE,"rent roll";#N/A,#N/A,FALSE,"96noleaseup";#N/A,#N/A,FALSE,"96noleaseup matrix";#N/A,#N/A,FALSE,"leaseup 96";#N/A,#N/A,FALSE,"leaseup 96 matrix";#N/A,#N/A,FALSE,"Leaseup and Exp."}</definedName>
    <definedName name="hfdhsfh_1" hidden="1">{#N/A,#N/A,FALSE,"I&amp;E";#N/A,#N/A,FALSE,"rent roll";#N/A,#N/A,FALSE,"96noleaseup";#N/A,#N/A,FALSE,"96noleaseup matrix";#N/A,#N/A,FALSE,"leaseup 96";#N/A,#N/A,FALSE,"leaseup 96 matrix";#N/A,#N/A,FALSE,"Leaseup and Exp."}</definedName>
    <definedName name="hfjgh" hidden="1">{#N/A,#N/A,TRUE,"Summary";#N/A,#N/A,TRUE,"Large Rev";#N/A,#N/A,TRUE,"Mid Rev";#N/A,#N/A,TRUE,"Small Rev";#N/A,#N/A,TRUE,"Stud Rev";#N/A,#N/A,TRUE,"Salaries";#N/A,#N/A,TRUE,"Adm &amp; Fin"}</definedName>
    <definedName name="hfjgh_1" hidden="1">{#N/A,#N/A,TRUE,"Summary";#N/A,#N/A,TRUE,"Large Rev";#N/A,#N/A,TRUE,"Mid Rev";#N/A,#N/A,TRUE,"Small Rev";#N/A,#N/A,TRUE,"Stud Rev";#N/A,#N/A,TRUE,"Salaries";#N/A,#N/A,TRUE,"Adm &amp; Fin"}</definedName>
    <definedName name="hfjghrd" hidden="1">{#N/A,#N/A,FALSE,"I&amp;E";#N/A,#N/A,FALSE,"rent roll";#N/A,#N/A,FALSE,"96noleaseup";#N/A,#N/A,FALSE,"96noleaseup matrix";#N/A,#N/A,FALSE,"leaseup 96";#N/A,#N/A,FALSE,"leaseup 96 matrix";#N/A,#N/A,FALSE,"Leaseup and Exp."}</definedName>
    <definedName name="hfjghrd_1" hidden="1">{#N/A,#N/A,FALSE,"I&amp;E";#N/A,#N/A,FALSE,"rent roll";#N/A,#N/A,FALSE,"96noleaseup";#N/A,#N/A,FALSE,"96noleaseup matrix";#N/A,#N/A,FALSE,"leaseup 96";#N/A,#N/A,FALSE,"leaseup 96 matrix";#N/A,#N/A,FALSE,"Leaseup and Exp."}</definedName>
    <definedName name="hfsdhss" hidden="1">{#N/A,#N/A,FALSE,"I&amp;E";#N/A,#N/A,FALSE,"rent roll";#N/A,#N/A,FALSE,"96noleaseup";#N/A,#N/A,FALSE,"96noleaseup matrix";#N/A,#N/A,FALSE,"leaseup 96";#N/A,#N/A,FALSE,"leaseup 96 matrix";#N/A,#N/A,FALSE,"Leaseup and Exp."}</definedName>
    <definedName name="hfsdhss_1" hidden="1">{#N/A,#N/A,FALSE,"I&amp;E";#N/A,#N/A,FALSE,"rent roll";#N/A,#N/A,FALSE,"96noleaseup";#N/A,#N/A,FALSE,"96noleaseup matrix";#N/A,#N/A,FALSE,"leaseup 96";#N/A,#N/A,FALSE,"leaseup 96 matrix";#N/A,#N/A,FALSE,"Leaseup and Exp."}</definedName>
    <definedName name="hgfghkf" hidden="1">{#N/A,#N/A,FALSE,"I&amp;E";#N/A,#N/A,FALSE,"rent roll";#N/A,#N/A,FALSE,"96noleaseup";#N/A,#N/A,FALSE,"96noleaseup matrix";#N/A,#N/A,FALSE,"leaseup 96";#N/A,#N/A,FALSE,"leaseup 96 matrix";#N/A,#N/A,FALSE,"Leaseup and Exp."}</definedName>
    <definedName name="hgfghkf_1" hidden="1">{#N/A,#N/A,FALSE,"I&amp;E";#N/A,#N/A,FALSE,"rent roll";#N/A,#N/A,FALSE,"96noleaseup";#N/A,#N/A,FALSE,"96noleaseup matrix";#N/A,#N/A,FALSE,"leaseup 96";#N/A,#N/A,FALSE,"leaseup 96 matrix";#N/A,#N/A,FALSE,"Leaseup and Exp."}</definedName>
    <definedName name="hgfh" hidden="1">{#N/A,#N/A,FALSE,"I&amp;E";#N/A,#N/A,FALSE,"rent roll";#N/A,#N/A,FALSE,"96noleaseup";#N/A,#N/A,FALSE,"96noleaseup matrix";#N/A,#N/A,FALSE,"leaseup 96";#N/A,#N/A,FALSE,"leaseup 96 matrix";#N/A,#N/A,FALSE,"Leaseup and Exp."}</definedName>
    <definedName name="hgfh_1" hidden="1">{#N/A,#N/A,FALSE,"I&amp;E";#N/A,#N/A,FALSE,"rent roll";#N/A,#N/A,FALSE,"96noleaseup";#N/A,#N/A,FALSE,"96noleaseup matrix";#N/A,#N/A,FALSE,"leaseup 96";#N/A,#N/A,FALSE,"leaseup 96 matrix";#N/A,#N/A,FALSE,"Leaseup and Exp."}</definedName>
    <definedName name="hgfhdfd" hidden="1">{#N/A,#N/A,FALSE,"I&amp;E";#N/A,#N/A,FALSE,"rent roll";#N/A,#N/A,FALSE,"96noleaseup";#N/A,#N/A,FALSE,"96noleaseup matrix";#N/A,#N/A,FALSE,"leaseup 96";#N/A,#N/A,FALSE,"leaseup 96 matrix";#N/A,#N/A,FALSE,"Leaseup and Exp."}</definedName>
    <definedName name="hgfhdfd_1" hidden="1">{#N/A,#N/A,FALSE,"I&amp;E";#N/A,#N/A,FALSE,"rent roll";#N/A,#N/A,FALSE,"96noleaseup";#N/A,#N/A,FALSE,"96noleaseup matrix";#N/A,#N/A,FALSE,"leaseup 96";#N/A,#N/A,FALSE,"leaseup 96 matrix";#N/A,#N/A,FALSE,"Leaseup and Exp."}</definedName>
    <definedName name="hgfhj" hidden="1">{#N/A,#N/A,FALSE,"I&amp;E";#N/A,#N/A,FALSE,"rent roll";#N/A,#N/A,FALSE,"96noleaseup";#N/A,#N/A,FALSE,"96noleaseup matrix";#N/A,#N/A,FALSE,"leaseup 96";#N/A,#N/A,FALSE,"leaseup 96 matrix";#N/A,#N/A,FALSE,"Leaseup and Exp."}</definedName>
    <definedName name="hgfhj_1" hidden="1">{#N/A,#N/A,FALSE,"I&amp;E";#N/A,#N/A,FALSE,"rent roll";#N/A,#N/A,FALSE,"96noleaseup";#N/A,#N/A,FALSE,"96noleaseup matrix";#N/A,#N/A,FALSE,"leaseup 96";#N/A,#N/A,FALSE,"leaseup 96 matrix";#N/A,#N/A,FALSE,"Leaseup and Exp."}</definedName>
    <definedName name="hgfkgh" hidden="1">{#N/A,#N/A,FALSE,"I&amp;E";#N/A,#N/A,FALSE,"rent roll";#N/A,#N/A,FALSE,"96noleaseup";#N/A,#N/A,FALSE,"96noleaseup matrix";#N/A,#N/A,FALSE,"leaseup 96";#N/A,#N/A,FALSE,"leaseup 96 matrix";#N/A,#N/A,FALSE,"Leaseup and Exp."}</definedName>
    <definedName name="hgfkgh_1" hidden="1">{#N/A,#N/A,FALSE,"I&amp;E";#N/A,#N/A,FALSE,"rent roll";#N/A,#N/A,FALSE,"96noleaseup";#N/A,#N/A,FALSE,"96noleaseup matrix";#N/A,#N/A,FALSE,"leaseup 96";#N/A,#N/A,FALSE,"leaseup 96 matrix";#N/A,#N/A,FALSE,"Leaseup and Exp."}</definedName>
    <definedName name="hgfytf" hidden="1">{"Summary",#N/A,TRUE,"Fin. Summary";"Payroll",#N/A,TRUE,"Staffing";"Personnel Phasing",#N/A,TRUE,"Staffing"}</definedName>
    <definedName name="hgfytf_1" hidden="1">{"Summary",#N/A,TRUE,"Fin. Summary";"Payroll",#N/A,TRUE,"Staffing";"Personnel Phasing",#N/A,TRUE,"Staffing"}</definedName>
    <definedName name="hgjfhyg" hidden="1">{#N/A,#N/A,FALSE,"I&amp;E";#N/A,#N/A,FALSE,"rent roll";#N/A,#N/A,FALSE,"96noleaseup";#N/A,#N/A,FALSE,"96noleaseup matrix";#N/A,#N/A,FALSE,"leaseup 96";#N/A,#N/A,FALSE,"leaseup 96 matrix";#N/A,#N/A,FALSE,"Leaseup and Exp."}</definedName>
    <definedName name="hgjfhyg_1" hidden="1">{#N/A,#N/A,FALSE,"I&amp;E";#N/A,#N/A,FALSE,"rent roll";#N/A,#N/A,FALSE,"96noleaseup";#N/A,#N/A,FALSE,"96noleaseup matrix";#N/A,#N/A,FALSE,"leaseup 96";#N/A,#N/A,FALSE,"leaseup 96 matrix";#N/A,#N/A,FALSE,"Leaseup and Exp."}</definedName>
    <definedName name="hgkh" hidden="1">{#N/A,#N/A,FALSE,"I&amp;E";#N/A,#N/A,FALSE,"rent roll";#N/A,#N/A,FALSE,"96noleaseup";#N/A,#N/A,FALSE,"96noleaseup matrix";#N/A,#N/A,FALSE,"leaseup 96";#N/A,#N/A,FALSE,"leaseup 96 matrix";#N/A,#N/A,FALSE,"Leaseup and Exp."}</definedName>
    <definedName name="hgkh_1" hidden="1">{#N/A,#N/A,FALSE,"I&amp;E";#N/A,#N/A,FALSE,"rent roll";#N/A,#N/A,FALSE,"96noleaseup";#N/A,#N/A,FALSE,"96noleaseup matrix";#N/A,#N/A,FALSE,"leaseup 96";#N/A,#N/A,FALSE,"leaseup 96 matrix";#N/A,#N/A,FALSE,"Leaseup and Exp."}</definedName>
    <definedName name="hgsyertt" hidden="1">{#N/A,#N/A,FALSE,"I&amp;E";#N/A,#N/A,FALSE,"rent roll";#N/A,#N/A,FALSE,"96noleaseup";#N/A,#N/A,FALSE,"96noleaseup matrix";#N/A,#N/A,FALSE,"leaseup 96";#N/A,#N/A,FALSE,"leaseup 96 matrix";#N/A,#N/A,FALSE,"Leaseup and Exp."}</definedName>
    <definedName name="hgsyertt_1" hidden="1">{#N/A,#N/A,FALSE,"I&amp;E";#N/A,#N/A,FALSE,"rent roll";#N/A,#N/A,FALSE,"96noleaseup";#N/A,#N/A,FALSE,"96noleaseup matrix";#N/A,#N/A,FALSE,"leaseup 96";#N/A,#N/A,FALSE,"leaseup 96 matrix";#N/A,#N/A,FALSE,"Leaseup and Exp."}</definedName>
    <definedName name="hhgfj" hidden="1">{#N/A,#N/A,FALSE,"I&amp;E";#N/A,#N/A,FALSE,"rent roll";#N/A,#N/A,FALSE,"96noleaseup";#N/A,#N/A,FALSE,"96noleaseup matrix";#N/A,#N/A,FALSE,"leaseup 96";#N/A,#N/A,FALSE,"leaseup 96 matrix";#N/A,#N/A,FALSE,"Leaseup and Exp."}</definedName>
    <definedName name="hhgfj_1" hidden="1">{#N/A,#N/A,FALSE,"I&amp;E";#N/A,#N/A,FALSE,"rent roll";#N/A,#N/A,FALSE,"96noleaseup";#N/A,#N/A,FALSE,"96noleaseup matrix";#N/A,#N/A,FALSE,"leaseup 96";#N/A,#N/A,FALSE,"leaseup 96 matrix";#N/A,#N/A,FALSE,"Leaseup and Exp."}</definedName>
    <definedName name="hhggkf" hidden="1">{#N/A,#N/A,FALSE,"I&amp;E";#N/A,#N/A,FALSE,"rent roll";#N/A,#N/A,FALSE,"96noleaseup";#N/A,#N/A,FALSE,"96noleaseup matrix";#N/A,#N/A,FALSE,"leaseup 96";#N/A,#N/A,FALSE,"leaseup 96 matrix";#N/A,#N/A,FALSE,"Leaseup and Exp."}</definedName>
    <definedName name="hhggkf_1" hidden="1">{#N/A,#N/A,FALSE,"I&amp;E";#N/A,#N/A,FALSE,"rent roll";#N/A,#N/A,FALSE,"96noleaseup";#N/A,#N/A,FALSE,"96noleaseup matrix";#N/A,#N/A,FALSE,"leaseup 96";#N/A,#N/A,FALSE,"leaseup 96 matrix";#N/A,#N/A,FALSE,"Leaseup and Exp."}</definedName>
    <definedName name="hhhhkjf" hidden="1">{#N/A,#N/A,TRUE,"Summary";#N/A,#N/A,TRUE,"Large Rev";#N/A,#N/A,TRUE,"Mid Rev";#N/A,#N/A,TRUE,"Small Rev";#N/A,#N/A,TRUE,"Stud Rev";#N/A,#N/A,TRUE,"Salaries";#N/A,#N/A,TRUE,"Adm &amp; Fin"}</definedName>
    <definedName name="hhhhkjf_1" hidden="1">{#N/A,#N/A,TRUE,"Summary";#N/A,#N/A,TRUE,"Large Rev";#N/A,#N/A,TRUE,"Mid Rev";#N/A,#N/A,TRUE,"Small Rev";#N/A,#N/A,TRUE,"Stud Rev";#N/A,#N/A,TRUE,"Salaries";#N/A,#N/A,TRUE,"Adm &amp; Fin"}</definedName>
    <definedName name="hjfghjf" hidden="1">{#N/A,#N/A,FALSE,"I&amp;E";#N/A,#N/A,FALSE,"rent roll";#N/A,#N/A,FALSE,"96noleaseup";#N/A,#N/A,FALSE,"96noleaseup matrix";#N/A,#N/A,FALSE,"leaseup 96";#N/A,#N/A,FALSE,"leaseup 96 matrix";#N/A,#N/A,FALSE,"Leaseup and Exp."}</definedName>
    <definedName name="hjfghjf_1" hidden="1">{#N/A,#N/A,FALSE,"I&amp;E";#N/A,#N/A,FALSE,"rent roll";#N/A,#N/A,FALSE,"96noleaseup";#N/A,#N/A,FALSE,"96noleaseup matrix";#N/A,#N/A,FALSE,"leaseup 96";#N/A,#N/A,FALSE,"leaseup 96 matrix";#N/A,#N/A,FALSE,"Leaseup and Exp."}</definedName>
    <definedName name="hjfghjh" hidden="1">{#N/A,#N/A,FALSE,"I&amp;E";#N/A,#N/A,FALSE,"rent roll";#N/A,#N/A,FALSE,"96noleaseup";#N/A,#N/A,FALSE,"96noleaseup matrix";#N/A,#N/A,FALSE,"leaseup 96";#N/A,#N/A,FALSE,"leaseup 96 matrix";#N/A,#N/A,FALSE,"Leaseup and Exp."}</definedName>
    <definedName name="hjfghjh_1" hidden="1">{#N/A,#N/A,FALSE,"I&amp;E";#N/A,#N/A,FALSE,"rent roll";#N/A,#N/A,FALSE,"96noleaseup";#N/A,#N/A,FALSE,"96noleaseup matrix";#N/A,#N/A,FALSE,"leaseup 96";#N/A,#N/A,FALSE,"leaseup 96 matrix";#N/A,#N/A,FALSE,"Leaseup and Exp."}</definedName>
    <definedName name="hjjhgfjj" hidden="1">{#N/A,#N/A,FALSE,"I&amp;E";#N/A,#N/A,FALSE,"rent roll";#N/A,#N/A,FALSE,"96noleaseup";#N/A,#N/A,FALSE,"96noleaseup matrix";#N/A,#N/A,FALSE,"leaseup 96";#N/A,#N/A,FALSE,"leaseup 96 matrix";#N/A,#N/A,FALSE,"Leaseup and Exp."}</definedName>
    <definedName name="hjjhgfjj_1" hidden="1">{#N/A,#N/A,FALSE,"I&amp;E";#N/A,#N/A,FALSE,"rent roll";#N/A,#N/A,FALSE,"96noleaseup";#N/A,#N/A,FALSE,"96noleaseup matrix";#N/A,#N/A,FALSE,"leaseup 96";#N/A,#N/A,FALSE,"leaseup 96 matrix";#N/A,#N/A,FALSE,"Leaseup and Exp."}</definedName>
    <definedName name="hjkghkj" hidden="1">{#N/A,#N/A,FALSE,"I&amp;E";#N/A,#N/A,FALSE,"rent roll";#N/A,#N/A,FALSE,"96noleaseup";#N/A,#N/A,FALSE,"96noleaseup matrix";#N/A,#N/A,FALSE,"leaseup 96";#N/A,#N/A,FALSE,"leaseup 96 matrix";#N/A,#N/A,FALSE,"Leaseup and Exp."}</definedName>
    <definedName name="hjkghkj_1" hidden="1">{#N/A,#N/A,FALSE,"I&amp;E";#N/A,#N/A,FALSE,"rent roll";#N/A,#N/A,FALSE,"96noleaseup";#N/A,#N/A,FALSE,"96noleaseup matrix";#N/A,#N/A,FALSE,"leaseup 96";#N/A,#N/A,FALSE,"leaseup 96 matrix";#N/A,#N/A,FALSE,"Leaseup and Exp."}</definedName>
    <definedName name="hjkhgkjh" hidden="1">{#N/A,#N/A,FALSE,"I&amp;E";#N/A,#N/A,FALSE,"rent roll";#N/A,#N/A,FALSE,"96noleaseup";#N/A,#N/A,FALSE,"96noleaseup matrix";#N/A,#N/A,FALSE,"leaseup 96";#N/A,#N/A,FALSE,"leaseup 96 matrix";#N/A,#N/A,FALSE,"Leaseup and Exp."}</definedName>
    <definedName name="hjkhgkjh_1" hidden="1">{#N/A,#N/A,FALSE,"I&amp;E";#N/A,#N/A,FALSE,"rent roll";#N/A,#N/A,FALSE,"96noleaseup";#N/A,#N/A,FALSE,"96noleaseup matrix";#N/A,#N/A,FALSE,"leaseup 96";#N/A,#N/A,FALSE,"leaseup 96 matrix";#N/A,#N/A,FALSE,"Leaseup and Exp."}</definedName>
    <definedName name="hjkjhk" hidden="1">{#N/A,#N/A,FALSE,"I&amp;E";#N/A,#N/A,FALSE,"rent roll";#N/A,#N/A,FALSE,"96noleaseup";#N/A,#N/A,FALSE,"96noleaseup matrix";#N/A,#N/A,FALSE,"leaseup 96";#N/A,#N/A,FALSE,"leaseup 96 matrix";#N/A,#N/A,FALSE,"Leaseup and Exp."}</definedName>
    <definedName name="hjkjhk_1" hidden="1">{#N/A,#N/A,FALSE,"I&amp;E";#N/A,#N/A,FALSE,"rent roll";#N/A,#N/A,FALSE,"96noleaseup";#N/A,#N/A,FALSE,"96noleaseup matrix";#N/A,#N/A,FALSE,"leaseup 96";#N/A,#N/A,FALSE,"leaseup 96 matrix";#N/A,#N/A,FALSE,"Leaseup and Exp."}</definedName>
    <definedName name="hkgfkhk" hidden="1">{#N/A,#N/A,FALSE,"I&amp;E";#N/A,#N/A,FALSE,"rent roll";#N/A,#N/A,FALSE,"96noleaseup";#N/A,#N/A,FALSE,"96noleaseup matrix";#N/A,#N/A,FALSE,"leaseup 96";#N/A,#N/A,FALSE,"leaseup 96 matrix";#N/A,#N/A,FALSE,"Leaseup and Exp."}</definedName>
    <definedName name="hkgfkhk_1" hidden="1">{#N/A,#N/A,FALSE,"I&amp;E";#N/A,#N/A,FALSE,"rent roll";#N/A,#N/A,FALSE,"96noleaseup";#N/A,#N/A,FALSE,"96noleaseup matrix";#N/A,#N/A,FALSE,"leaseup 96";#N/A,#N/A,FALSE,"leaseup 96 matrix";#N/A,#N/A,FALSE,"Leaseup and Exp."}</definedName>
    <definedName name="hkgjh" hidden="1">{#N/A,#N/A,FALSE,"I&amp;E";#N/A,#N/A,FALSE,"rent roll";#N/A,#N/A,FALSE,"96noleaseup";#N/A,#N/A,FALSE,"96noleaseup matrix";#N/A,#N/A,FALSE,"leaseup 96";#N/A,#N/A,FALSE,"leaseup 96 matrix";#N/A,#N/A,FALSE,"Leaseup and Exp."}</definedName>
    <definedName name="hkgjh_1" hidden="1">{#N/A,#N/A,FALSE,"I&amp;E";#N/A,#N/A,FALSE,"rent roll";#N/A,#N/A,FALSE,"96noleaseup";#N/A,#N/A,FALSE,"96noleaseup matrix";#N/A,#N/A,FALSE,"leaseup 96";#N/A,#N/A,FALSE,"leaseup 96 matrix";#N/A,#N/A,FALSE,"Leaseup and Exp."}</definedName>
    <definedName name="hsdfgs" hidden="1">{#N/A,#N/A,TRUE,"Summary";#N/A,#N/A,TRUE,"Large Rev";#N/A,#N/A,TRUE,"Mid Rev";#N/A,#N/A,TRUE,"Small Rev";#N/A,#N/A,TRUE,"Stud Rev";#N/A,#N/A,TRUE,"Salaries";#N/A,#N/A,TRUE,"Adm &amp; Fin"}</definedName>
    <definedName name="hsdfgs_1" hidden="1">{#N/A,#N/A,TRUE,"Summary";#N/A,#N/A,TRUE,"Large Rev";#N/A,#N/A,TRUE,"Mid Rev";#N/A,#N/A,TRUE,"Small Rev";#N/A,#N/A,TRUE,"Stud Rev";#N/A,#N/A,TRUE,"Salaries";#N/A,#N/A,TRUE,"Adm &amp; Fin"}</definedName>
    <definedName name="hsdfhsdfh" hidden="1">{"Summary",#N/A,TRUE,"Fin. Summary";"Payroll",#N/A,TRUE,"Staffing";"Personnel Phasing",#N/A,TRUE,"Staffing"}</definedName>
    <definedName name="hsdfhsdfh_1" hidden="1">{"Summary",#N/A,TRUE,"Fin. Summary";"Payroll",#N/A,TRUE,"Staffing";"Personnel Phasing",#N/A,TRUE,"Staffing"}</definedName>
    <definedName name="HTML_CodePage" hidden="1">1252</definedName>
    <definedName name="HTML_Control" hidden="1">{"'Industry'!$A$1:$M$85","'Industry'!$I$20:$M$45"}</definedName>
    <definedName name="HTML_Control_1" hidden="1">{"'Industry'!$A$1:$M$85","'Industry'!$I$20:$M$45"}</definedName>
    <definedName name="HTML_Description" hidden="1">""</definedName>
    <definedName name="HTML_Email" hidden="1">""</definedName>
    <definedName name="HTML_Header" hidden="1">"Industry"</definedName>
    <definedName name="HTML_LastUpdate" hidden="1">"12/31/96"</definedName>
    <definedName name="HTML_LineAfter" hidden="1">FALSE</definedName>
    <definedName name="HTML_LineBefore" hidden="1">FALSE</definedName>
    <definedName name="HTML_Name" hidden="1">"Portable 3"</definedName>
    <definedName name="HTML_OBDlg2" hidden="1">TRUE</definedName>
    <definedName name="HTML_OBDlg4" hidden="1">TRUE</definedName>
    <definedName name="HTML_OS" hidden="1">0</definedName>
    <definedName name="HTML_PathFile" hidden="1">"p:\input\1996"</definedName>
    <definedName name="HTML_Title" hidden="1">"NEW_X"</definedName>
    <definedName name="iiiirr" hidden="1">{#N/A,#N/A,TRUE,"Summary";#N/A,#N/A,TRUE,"Large Rev";#N/A,#N/A,TRUE,"Mid Rev";#N/A,#N/A,TRUE,"Small Rev";#N/A,#N/A,TRUE,"Stud Rev";#N/A,#N/A,TRUE,"Salaries";#N/A,#N/A,TRUE,"Adm &amp; Fin"}</definedName>
    <definedName name="iiiirr_1" hidden="1">{#N/A,#N/A,TRUE,"Summary";#N/A,#N/A,TRUE,"Large Rev";#N/A,#N/A,TRUE,"Mid Rev";#N/A,#N/A,TRUE,"Small Rev";#N/A,#N/A,TRUE,"Stud Rev";#N/A,#N/A,TRUE,"Salaries";#N/A,#N/A,TRUE,"Adm &amp; Fin"}</definedName>
    <definedName name="iiititit" hidden="1">{"Summary",#N/A,TRUE,"Fin. Summary";"Payroll",#N/A,TRUE,"Staffing";"Personnel Phasing",#N/A,TRUE,"Staffing"}</definedName>
    <definedName name="iiititit_1" hidden="1">{"Summary",#N/A,TRUE,"Fin. Summary";"Payroll",#N/A,TRUE,"Staffing";"Personnel Phasing",#N/A,TRUE,"Staffing"}</definedName>
    <definedName name="iirir" hidden="1">{#N/A,#N/A,FALSE,"I&amp;E";#N/A,#N/A,FALSE,"rent roll";#N/A,#N/A,FALSE,"96noleaseup";#N/A,#N/A,FALSE,"96noleaseup matrix";#N/A,#N/A,FALSE,"leaseup 96";#N/A,#N/A,FALSE,"leaseup 96 matrix";#N/A,#N/A,FALSE,"Leaseup and Exp."}</definedName>
    <definedName name="iirir_1" hidden="1">{#N/A,#N/A,FALSE,"I&amp;E";#N/A,#N/A,FALSE,"rent roll";#N/A,#N/A,FALSE,"96noleaseup";#N/A,#N/A,FALSE,"96noleaseup matrix";#N/A,#N/A,FALSE,"leaseup 96";#N/A,#N/A,FALSE,"leaseup 96 matrix";#N/A,#N/A,FALSE,"Leaseup and Exp."}</definedName>
    <definedName name="ityrity" hidden="1">{"Summary",#N/A,TRUE,"Fin. Summary";"Payroll",#N/A,TRUE,"Staffing";"Personnel Phasing",#N/A,TRUE,"Staffing"}</definedName>
    <definedName name="ityrity_1" hidden="1">{"Summary",#N/A,TRUE,"Fin. Summary";"Payroll",#N/A,TRUE,"Staffing";"Personnel Phasing",#N/A,TRUE,"Staffing"}</definedName>
    <definedName name="iuiuyiui" hidden="1">{#N/A,#N/A,FALSE,"I&amp;E";#N/A,#N/A,FALSE,"rent roll";#N/A,#N/A,FALSE,"96noleaseup";#N/A,#N/A,FALSE,"96noleaseup matrix";#N/A,#N/A,FALSE,"leaseup 96";#N/A,#N/A,FALSE,"leaseup 96 matrix";#N/A,#N/A,FALSE,"Leaseup and Exp."}</definedName>
    <definedName name="iuiuyiui_1" hidden="1">{#N/A,#N/A,FALSE,"I&amp;E";#N/A,#N/A,FALSE,"rent roll";#N/A,#N/A,FALSE,"96noleaseup";#N/A,#N/A,FALSE,"96noleaseup matrix";#N/A,#N/A,FALSE,"leaseup 96";#N/A,#N/A,FALSE,"leaseup 96 matrix";#N/A,#N/A,FALSE,"Leaseup and Exp."}</definedName>
    <definedName name="iuoyo" hidden="1">{#N/A,#N/A,TRUE,"Summary";#N/A,#N/A,TRUE,"Large Rev";#N/A,#N/A,TRUE,"Mid Rev";#N/A,#N/A,TRUE,"Small Rev";#N/A,#N/A,TRUE,"Stud Rev";#N/A,#N/A,TRUE,"Salaries";#N/A,#N/A,TRUE,"Adm &amp; Fin"}</definedName>
    <definedName name="iuoyo_1" hidden="1">{#N/A,#N/A,TRUE,"Summary";#N/A,#N/A,TRUE,"Large Rev";#N/A,#N/A,TRUE,"Mid Rev";#N/A,#N/A,TRUE,"Small Rev";#N/A,#N/A,TRUE,"Stud Rev";#N/A,#N/A,TRUE,"Salaries";#N/A,#N/A,TRUE,"Adm &amp; Fin"}</definedName>
    <definedName name="iuyioyi" hidden="1">{#N/A,#N/A,FALSE,"I&amp;E";#N/A,#N/A,FALSE,"rent roll";#N/A,#N/A,FALSE,"96noleaseup";#N/A,#N/A,FALSE,"96noleaseup matrix";#N/A,#N/A,FALSE,"leaseup 96";#N/A,#N/A,FALSE,"leaseup 96 matrix";#N/A,#N/A,FALSE,"Leaseup and Exp."}</definedName>
    <definedName name="iuyioyi_1" hidden="1">{#N/A,#N/A,FALSE,"I&amp;E";#N/A,#N/A,FALSE,"rent roll";#N/A,#N/A,FALSE,"96noleaseup";#N/A,#N/A,FALSE,"96noleaseup matrix";#N/A,#N/A,FALSE,"leaseup 96";#N/A,#N/A,FALSE,"leaseup 96 matrix";#N/A,#N/A,FALSE,"Leaseup and Exp."}</definedName>
    <definedName name="iyiyiyy" hidden="1">{#N/A,#N/A,FALSE,"I&amp;E";#N/A,#N/A,FALSE,"rent roll";#N/A,#N/A,FALSE,"96noleaseup";#N/A,#N/A,FALSE,"96noleaseup matrix";#N/A,#N/A,FALSE,"leaseup 96";#N/A,#N/A,FALSE,"leaseup 96 matrix";#N/A,#N/A,FALSE,"Leaseup and Exp."}</definedName>
    <definedName name="iyiyiyy_1" hidden="1">{#N/A,#N/A,FALSE,"I&amp;E";#N/A,#N/A,FALSE,"rent roll";#N/A,#N/A,FALSE,"96noleaseup";#N/A,#N/A,FALSE,"96noleaseup matrix";#N/A,#N/A,FALSE,"leaseup 96";#N/A,#N/A,FALSE,"leaseup 96 matrix";#N/A,#N/A,FALSE,"Leaseup and Exp."}</definedName>
    <definedName name="j" hidden="1">{#N/A,#N/A,FALSE,"I&amp;E";#N/A,#N/A,FALSE,"rent roll";#N/A,#N/A,FALSE,"96noleaseup";#N/A,#N/A,FALSE,"96noleaseup matrix";#N/A,#N/A,FALSE,"leaseup 96";#N/A,#N/A,FALSE,"leaseup 96 matrix";#N/A,#N/A,FALSE,"Leaseup and Exp."}</definedName>
    <definedName name="j_1" hidden="1">{#N/A,#N/A,FALSE,"I&amp;E";#N/A,#N/A,FALSE,"rent roll";#N/A,#N/A,FALSE,"96noleaseup";#N/A,#N/A,FALSE,"96noleaseup matrix";#N/A,#N/A,FALSE,"leaseup 96";#N/A,#N/A,FALSE,"leaseup 96 matrix";#N/A,#N/A,FALSE,"Leaseup and Exp."}</definedName>
    <definedName name="ja" hidden="1">{#N/A,#N/A,FALSE,"I&amp;E";#N/A,#N/A,FALSE,"rent roll";#N/A,#N/A,FALSE,"96noleaseup";#N/A,#N/A,FALSE,"96noleaseup matrix";#N/A,#N/A,FALSE,"leaseup 96";#N/A,#N/A,FALSE,"leaseup 96 matrix";#N/A,#N/A,FALSE,"Leaseup and Exp."}</definedName>
    <definedName name="ja_1" hidden="1">{#N/A,#N/A,FALSE,"I&amp;E";#N/A,#N/A,FALSE,"rent roll";#N/A,#N/A,FALSE,"96noleaseup";#N/A,#N/A,FALSE,"96noleaseup matrix";#N/A,#N/A,FALSE,"leaseup 96";#N/A,#N/A,FALSE,"leaseup 96 matrix";#N/A,#N/A,FALSE,"Leaseup and Exp."}</definedName>
    <definedName name="jdfgj" hidden="1">{#N/A,#N/A,FALSE,"I&amp;E";#N/A,#N/A,FALSE,"rent roll";#N/A,#N/A,FALSE,"96noleaseup";#N/A,#N/A,FALSE,"96noleaseup matrix";#N/A,#N/A,FALSE,"leaseup 96";#N/A,#N/A,FALSE,"leaseup 96 matrix";#N/A,#N/A,FALSE,"Leaseup and Exp."}</definedName>
    <definedName name="jdfgj_1" hidden="1">{#N/A,#N/A,FALSE,"I&amp;E";#N/A,#N/A,FALSE,"rent roll";#N/A,#N/A,FALSE,"96noleaseup";#N/A,#N/A,FALSE,"96noleaseup matrix";#N/A,#N/A,FALSE,"leaseup 96";#N/A,#N/A,FALSE,"leaseup 96 matrix";#N/A,#N/A,FALSE,"Leaseup and Exp."}</definedName>
    <definedName name="jdfjgfj" hidden="1">{#N/A,#N/A,FALSE,"I&amp;E";#N/A,#N/A,FALSE,"rent roll";#N/A,#N/A,FALSE,"96noleaseup";#N/A,#N/A,FALSE,"96noleaseup matrix";#N/A,#N/A,FALSE,"leaseup 96";#N/A,#N/A,FALSE,"leaseup 96 matrix";#N/A,#N/A,FALSE,"Leaseup and Exp."}</definedName>
    <definedName name="jdfjgfj_1" hidden="1">{#N/A,#N/A,FALSE,"I&amp;E";#N/A,#N/A,FALSE,"rent roll";#N/A,#N/A,FALSE,"96noleaseup";#N/A,#N/A,FALSE,"96noleaseup matrix";#N/A,#N/A,FALSE,"leaseup 96";#N/A,#N/A,FALSE,"leaseup 96 matrix";#N/A,#N/A,FALSE,"Leaseup and Exp."}</definedName>
    <definedName name="jdfjrj" hidden="1">{#N/A,#N/A,FALSE,"I&amp;E";#N/A,#N/A,FALSE,"rent roll";#N/A,#N/A,FALSE,"96noleaseup";#N/A,#N/A,FALSE,"96noleaseup matrix";#N/A,#N/A,FALSE,"leaseup 96";#N/A,#N/A,FALSE,"leaseup 96 matrix";#N/A,#N/A,FALSE,"Leaseup and Exp."}</definedName>
    <definedName name="jdfjrj_1" hidden="1">{#N/A,#N/A,FALSE,"I&amp;E";#N/A,#N/A,FALSE,"rent roll";#N/A,#N/A,FALSE,"96noleaseup";#N/A,#N/A,FALSE,"96noleaseup matrix";#N/A,#N/A,FALSE,"leaseup 96";#N/A,#N/A,FALSE,"leaseup 96 matrix";#N/A,#N/A,FALSE,"Leaseup and Exp."}</definedName>
    <definedName name="jdgfjd" hidden="1">{#N/A,#N/A,TRUE,"Summary";#N/A,#N/A,TRUE,"Large Rev";#N/A,#N/A,TRUE,"Mid Rev";#N/A,#N/A,TRUE,"Small Rev";#N/A,#N/A,TRUE,"Stud Rev";#N/A,#N/A,TRUE,"Salaries";#N/A,#N/A,TRUE,"Adm &amp; Fin"}</definedName>
    <definedName name="jdgfjd_1" hidden="1">{#N/A,#N/A,TRUE,"Summary";#N/A,#N/A,TRUE,"Large Rev";#N/A,#N/A,TRUE,"Mid Rev";#N/A,#N/A,TRUE,"Small Rev";#N/A,#N/A,TRUE,"Stud Rev";#N/A,#N/A,TRUE,"Salaries";#N/A,#N/A,TRUE,"Adm &amp; Fin"}</definedName>
    <definedName name="jdgfjr" hidden="1">{#N/A,#N/A,FALSE,"I&amp;E";#N/A,#N/A,FALSE,"rent roll";#N/A,#N/A,FALSE,"96noleaseup";#N/A,#N/A,FALSE,"96noleaseup matrix";#N/A,#N/A,FALSE,"leaseup 96";#N/A,#N/A,FALSE,"leaseup 96 matrix";#N/A,#N/A,FALSE,"Leaseup and Exp."}</definedName>
    <definedName name="jdgfjr_1" hidden="1">{#N/A,#N/A,FALSE,"I&amp;E";#N/A,#N/A,FALSE,"rent roll";#N/A,#N/A,FALSE,"96noleaseup";#N/A,#N/A,FALSE,"96noleaseup matrix";#N/A,#N/A,FALSE,"leaseup 96";#N/A,#N/A,FALSE,"leaseup 96 matrix";#N/A,#N/A,FALSE,"Leaseup and Exp."}</definedName>
    <definedName name="jdrtjdky" hidden="1">{"Summary",#N/A,TRUE,"Fin. Summary";"Payroll",#N/A,TRUE,"Staffing";"Personnel Phasing",#N/A,TRUE,"Staffing"}</definedName>
    <definedName name="jdrtjdky_1" hidden="1">{"Summary",#N/A,TRUE,"Fin. Summary";"Payroll",#N/A,TRUE,"Staffing";"Personnel Phasing",#N/A,TRUE,"Staffing"}</definedName>
    <definedName name="jfdrt" hidden="1">{#N/A,#N/A,FALSE,"I&amp;E";#N/A,#N/A,FALSE,"rent roll";#N/A,#N/A,FALSE,"96noleaseup";#N/A,#N/A,FALSE,"96noleaseup matrix";#N/A,#N/A,FALSE,"leaseup 96";#N/A,#N/A,FALSE,"leaseup 96 matrix";#N/A,#N/A,FALSE,"Leaseup and Exp."}</definedName>
    <definedName name="jfdrt_1" hidden="1">{#N/A,#N/A,FALSE,"I&amp;E";#N/A,#N/A,FALSE,"rent roll";#N/A,#N/A,FALSE,"96noleaseup";#N/A,#N/A,FALSE,"96noleaseup matrix";#N/A,#N/A,FALSE,"leaseup 96";#N/A,#N/A,FALSE,"leaseup 96 matrix";#N/A,#N/A,FALSE,"Leaseup and Exp."}</definedName>
    <definedName name="jfghj" hidden="1">{#N/A,#N/A,FALSE,"I&amp;E";#N/A,#N/A,FALSE,"rent roll";#N/A,#N/A,FALSE,"96noleaseup";#N/A,#N/A,FALSE,"96noleaseup matrix";#N/A,#N/A,FALSE,"leaseup 96";#N/A,#N/A,FALSE,"leaseup 96 matrix";#N/A,#N/A,FALSE,"Leaseup and Exp."}</definedName>
    <definedName name="jfghj_1" hidden="1">{#N/A,#N/A,FALSE,"I&amp;E";#N/A,#N/A,FALSE,"rent roll";#N/A,#N/A,FALSE,"96noleaseup";#N/A,#N/A,FALSE,"96noleaseup matrix";#N/A,#N/A,FALSE,"leaseup 96";#N/A,#N/A,FALSE,"leaseup 96 matrix";#N/A,#N/A,FALSE,"Leaseup and Exp."}</definedName>
    <definedName name="jfghkfk" hidden="1">{#N/A,#N/A,FALSE,"I&amp;E";#N/A,#N/A,FALSE,"rent roll";#N/A,#N/A,FALSE,"96noleaseup";#N/A,#N/A,FALSE,"96noleaseup matrix";#N/A,#N/A,FALSE,"leaseup 96";#N/A,#N/A,FALSE,"leaseup 96 matrix";#N/A,#N/A,FALSE,"Leaseup and Exp."}</definedName>
    <definedName name="jfghkfk_1" hidden="1">{#N/A,#N/A,FALSE,"I&amp;E";#N/A,#N/A,FALSE,"rent roll";#N/A,#N/A,FALSE,"96noleaseup";#N/A,#N/A,FALSE,"96noleaseup matrix";#N/A,#N/A,FALSE,"leaseup 96";#N/A,#N/A,FALSE,"leaseup 96 matrix";#N/A,#N/A,FALSE,"Leaseup and Exp."}</definedName>
    <definedName name="jfgjd" hidden="1">{#N/A,#N/A,FALSE,"I&amp;E";#N/A,#N/A,FALSE,"rent roll";#N/A,#N/A,FALSE,"96noleaseup";#N/A,#N/A,FALSE,"96noleaseup matrix";#N/A,#N/A,FALSE,"leaseup 96";#N/A,#N/A,FALSE,"leaseup 96 matrix";#N/A,#N/A,FALSE,"Leaseup and Exp."}</definedName>
    <definedName name="jfgjd_1" hidden="1">{#N/A,#N/A,FALSE,"I&amp;E";#N/A,#N/A,FALSE,"rent roll";#N/A,#N/A,FALSE,"96noleaseup";#N/A,#N/A,FALSE,"96noleaseup matrix";#N/A,#N/A,FALSE,"leaseup 96";#N/A,#N/A,FALSE,"leaseup 96 matrix";#N/A,#N/A,FALSE,"Leaseup and Exp."}</definedName>
    <definedName name="jfgjdfj" hidden="1">{#N/A,#N/A,FALSE,"I&amp;E";#N/A,#N/A,FALSE,"rent roll";#N/A,#N/A,FALSE,"96noleaseup";#N/A,#N/A,FALSE,"96noleaseup matrix";#N/A,#N/A,FALSE,"leaseup 96";#N/A,#N/A,FALSE,"leaseup 96 matrix";#N/A,#N/A,FALSE,"Leaseup and Exp."}</definedName>
    <definedName name="jfgjdfj_1" hidden="1">{#N/A,#N/A,FALSE,"I&amp;E";#N/A,#N/A,FALSE,"rent roll";#N/A,#N/A,FALSE,"96noleaseup";#N/A,#N/A,FALSE,"96noleaseup matrix";#N/A,#N/A,FALSE,"leaseup 96";#N/A,#N/A,FALSE,"leaseup 96 matrix";#N/A,#N/A,FALSE,"Leaseup and Exp."}</definedName>
    <definedName name="jfgjfdtr" hidden="1">{#N/A,#N/A,FALSE,"I&amp;E";#N/A,#N/A,FALSE,"rent roll";#N/A,#N/A,FALSE,"96noleaseup";#N/A,#N/A,FALSE,"96noleaseup matrix";#N/A,#N/A,FALSE,"leaseup 96";#N/A,#N/A,FALSE,"leaseup 96 matrix";#N/A,#N/A,FALSE,"Leaseup and Exp."}</definedName>
    <definedName name="jfgjfdtr_1" hidden="1">{#N/A,#N/A,FALSE,"I&amp;E";#N/A,#N/A,FALSE,"rent roll";#N/A,#N/A,FALSE,"96noleaseup";#N/A,#N/A,FALSE,"96noleaseup matrix";#N/A,#N/A,FALSE,"leaseup 96";#N/A,#N/A,FALSE,"leaseup 96 matrix";#N/A,#N/A,FALSE,"Leaseup and Exp."}</definedName>
    <definedName name="jfjf" hidden="1">{#N/A,#N/A,FALSE,"I&amp;E";#N/A,#N/A,FALSE,"rent roll";#N/A,#N/A,FALSE,"96noleaseup";#N/A,#N/A,FALSE,"96noleaseup matrix";#N/A,#N/A,FALSE,"leaseup 96";#N/A,#N/A,FALSE,"leaseup 96 matrix";#N/A,#N/A,FALSE,"Leaseup and Exp."}</definedName>
    <definedName name="jfjf_1" hidden="1">{#N/A,#N/A,FALSE,"I&amp;E";#N/A,#N/A,FALSE,"rent roll";#N/A,#N/A,FALSE,"96noleaseup";#N/A,#N/A,FALSE,"96noleaseup matrix";#N/A,#N/A,FALSE,"leaseup 96";#N/A,#N/A,FALSE,"leaseup 96 matrix";#N/A,#N/A,FALSE,"Leaseup and Exp."}</definedName>
    <definedName name="jfsjsfgjsrghn" hidden="1">{#N/A,#N/A,FALSE,"I&amp;E";#N/A,#N/A,FALSE,"rent roll";#N/A,#N/A,FALSE,"96noleaseup";#N/A,#N/A,FALSE,"96noleaseup matrix";#N/A,#N/A,FALSE,"leaseup 96";#N/A,#N/A,FALSE,"leaseup 96 matrix";#N/A,#N/A,FALSE,"Leaseup and Exp."}</definedName>
    <definedName name="jfsjsfgjsrghn_1" hidden="1">{#N/A,#N/A,FALSE,"I&amp;E";#N/A,#N/A,FALSE,"rent roll";#N/A,#N/A,FALSE,"96noleaseup";#N/A,#N/A,FALSE,"96noleaseup matrix";#N/A,#N/A,FALSE,"leaseup 96";#N/A,#N/A,FALSE,"leaseup 96 matrix";#N/A,#N/A,FALSE,"Leaseup and Exp."}</definedName>
    <definedName name="jgdfrj" hidden="1">{#N/A,#N/A,FALSE,"I&amp;E";#N/A,#N/A,FALSE,"rent roll";#N/A,#N/A,FALSE,"96noleaseup";#N/A,#N/A,FALSE,"96noleaseup matrix";#N/A,#N/A,FALSE,"leaseup 96";#N/A,#N/A,FALSE,"leaseup 96 matrix";#N/A,#N/A,FALSE,"Leaseup and Exp."}</definedName>
    <definedName name="jgdfrj_1" hidden="1">{#N/A,#N/A,FALSE,"I&amp;E";#N/A,#N/A,FALSE,"rent roll";#N/A,#N/A,FALSE,"96noleaseup";#N/A,#N/A,FALSE,"96noleaseup matrix";#N/A,#N/A,FALSE,"leaseup 96";#N/A,#N/A,FALSE,"leaseup 96 matrix";#N/A,#N/A,FALSE,"Leaseup and Exp."}</definedName>
    <definedName name="jgfdj" hidden="1">{#N/A,#N/A,FALSE,"I&amp;E";#N/A,#N/A,FALSE,"rent roll";#N/A,#N/A,FALSE,"96noleaseup";#N/A,#N/A,FALSE,"96noleaseup matrix";#N/A,#N/A,FALSE,"leaseup 96";#N/A,#N/A,FALSE,"leaseup 96 matrix";#N/A,#N/A,FALSE,"Leaseup and Exp."}</definedName>
    <definedName name="jgfdj_1" hidden="1">{#N/A,#N/A,FALSE,"I&amp;E";#N/A,#N/A,FALSE,"rent roll";#N/A,#N/A,FALSE,"96noleaseup";#N/A,#N/A,FALSE,"96noleaseup matrix";#N/A,#N/A,FALSE,"leaseup 96";#N/A,#N/A,FALSE,"leaseup 96 matrix";#N/A,#N/A,FALSE,"Leaseup and Exp."}</definedName>
    <definedName name="jgfdjg" hidden="1">{#N/A,#N/A,FALSE,"I&amp;E";#N/A,#N/A,FALSE,"rent roll";#N/A,#N/A,FALSE,"96noleaseup";#N/A,#N/A,FALSE,"96noleaseup matrix";#N/A,#N/A,FALSE,"leaseup 96";#N/A,#N/A,FALSE,"leaseup 96 matrix";#N/A,#N/A,FALSE,"Leaseup and Exp."}</definedName>
    <definedName name="jgfdjg_1" hidden="1">{#N/A,#N/A,FALSE,"I&amp;E";#N/A,#N/A,FALSE,"rent roll";#N/A,#N/A,FALSE,"96noleaseup";#N/A,#N/A,FALSE,"96noleaseup matrix";#N/A,#N/A,FALSE,"leaseup 96";#N/A,#N/A,FALSE,"leaseup 96 matrix";#N/A,#N/A,FALSE,"Leaseup and Exp."}</definedName>
    <definedName name="jghfjgh" hidden="1">{#N/A,#N/A,FALSE,"I&amp;E";#N/A,#N/A,FALSE,"rent roll";#N/A,#N/A,FALSE,"96noleaseup";#N/A,#N/A,FALSE,"96noleaseup matrix";#N/A,#N/A,FALSE,"leaseup 96";#N/A,#N/A,FALSE,"leaseup 96 matrix";#N/A,#N/A,FALSE,"Leaseup and Exp."}</definedName>
    <definedName name="jghfjgh_1" hidden="1">{#N/A,#N/A,FALSE,"I&amp;E";#N/A,#N/A,FALSE,"rent roll";#N/A,#N/A,FALSE,"96noleaseup";#N/A,#N/A,FALSE,"96noleaseup matrix";#N/A,#N/A,FALSE,"leaseup 96";#N/A,#N/A,FALSE,"leaseup 96 matrix";#N/A,#N/A,FALSE,"Leaseup and Exp."}</definedName>
    <definedName name="jhfgjh" hidden="1">{#N/A,#N/A,FALSE,"I&amp;E";#N/A,#N/A,FALSE,"rent roll";#N/A,#N/A,FALSE,"96noleaseup";#N/A,#N/A,FALSE,"96noleaseup matrix";#N/A,#N/A,FALSE,"leaseup 96";#N/A,#N/A,FALSE,"leaseup 96 matrix";#N/A,#N/A,FALSE,"Leaseup and Exp."}</definedName>
    <definedName name="jhfgjh_1" hidden="1">{#N/A,#N/A,FALSE,"I&amp;E";#N/A,#N/A,FALSE,"rent roll";#N/A,#N/A,FALSE,"96noleaseup";#N/A,#N/A,FALSE,"96noleaseup matrix";#N/A,#N/A,FALSE,"leaseup 96";#N/A,#N/A,FALSE,"leaseup 96 matrix";#N/A,#N/A,FALSE,"Leaseup and Exp."}</definedName>
    <definedName name="jhkjkhj" hidden="1">{#N/A,#N/A,FALSE,"I&amp;E";#N/A,#N/A,FALSE,"rent roll";#N/A,#N/A,FALSE,"96noleaseup";#N/A,#N/A,FALSE,"96noleaseup matrix";#N/A,#N/A,FALSE,"leaseup 96";#N/A,#N/A,FALSE,"leaseup 96 matrix";#N/A,#N/A,FALSE,"Leaseup and Exp."}</definedName>
    <definedName name="jhkjkhj_1" hidden="1">{#N/A,#N/A,FALSE,"I&amp;E";#N/A,#N/A,FALSE,"rent roll";#N/A,#N/A,FALSE,"96noleaseup";#N/A,#N/A,FALSE,"96noleaseup matrix";#N/A,#N/A,FALSE,"leaseup 96";#N/A,#N/A,FALSE,"leaseup 96 matrix";#N/A,#N/A,FALSE,"Leaseup and Exp."}</definedName>
    <definedName name="jhythert43er" hidden="1">{#N/A,#N/A,FALSE,"I&amp;E";#N/A,#N/A,FALSE,"rent roll";#N/A,#N/A,FALSE,"96noleaseup";#N/A,#N/A,FALSE,"96noleaseup matrix";#N/A,#N/A,FALSE,"leaseup 96";#N/A,#N/A,FALSE,"leaseup 96 matrix";#N/A,#N/A,FALSE,"Leaseup and Exp."}</definedName>
    <definedName name="jhythert43er_1" hidden="1">{#N/A,#N/A,FALSE,"I&amp;E";#N/A,#N/A,FALSE,"rent roll";#N/A,#N/A,FALSE,"96noleaseup";#N/A,#N/A,FALSE,"96noleaseup matrix";#N/A,#N/A,FALSE,"leaseup 96";#N/A,#N/A,FALSE,"leaseup 96 matrix";#N/A,#N/A,FALSE,"Leaseup and Exp."}</definedName>
    <definedName name="jkhjgkj" hidden="1">{#N/A,#N/A,FALSE,"I&amp;E";#N/A,#N/A,FALSE,"rent roll";#N/A,#N/A,FALSE,"96noleaseup";#N/A,#N/A,FALSE,"96noleaseup matrix";#N/A,#N/A,FALSE,"leaseup 96";#N/A,#N/A,FALSE,"leaseup 96 matrix";#N/A,#N/A,FALSE,"Leaseup and Exp."}</definedName>
    <definedName name="jkhjgkj_1" hidden="1">{#N/A,#N/A,FALSE,"I&amp;E";#N/A,#N/A,FALSE,"rent roll";#N/A,#N/A,FALSE,"96noleaseup";#N/A,#N/A,FALSE,"96noleaseup matrix";#N/A,#N/A,FALSE,"leaseup 96";#N/A,#N/A,FALSE,"leaseup 96 matrix";#N/A,#N/A,FALSE,"Leaseup and Exp."}</definedName>
    <definedName name="jkhjk" hidden="1">{#N/A,#N/A,FALSE,"I&amp;E";#N/A,#N/A,FALSE,"rent roll";#N/A,#N/A,FALSE,"96noleaseup";#N/A,#N/A,FALSE,"96noleaseup matrix";#N/A,#N/A,FALSE,"leaseup 96";#N/A,#N/A,FALSE,"leaseup 96 matrix";#N/A,#N/A,FALSE,"Leaseup and Exp."}</definedName>
    <definedName name="jkhjk_1" hidden="1">{#N/A,#N/A,FALSE,"I&amp;E";#N/A,#N/A,FALSE,"rent roll";#N/A,#N/A,FALSE,"96noleaseup";#N/A,#N/A,FALSE,"96noleaseup matrix";#N/A,#N/A,FALSE,"leaseup 96";#N/A,#N/A,FALSE,"leaseup 96 matrix";#N/A,#N/A,FALSE,"Leaseup and Exp."}</definedName>
    <definedName name="jsetrt" hidden="1">{#N/A,#N/A,FALSE,"I&amp;E";#N/A,#N/A,FALSE,"rent roll";#N/A,#N/A,FALSE,"96noleaseup";#N/A,#N/A,FALSE,"96noleaseup matrix";#N/A,#N/A,FALSE,"leaseup 96";#N/A,#N/A,FALSE,"leaseup 96 matrix";#N/A,#N/A,FALSE,"Leaseup and Exp."}</definedName>
    <definedName name="jsetrt_1" hidden="1">{#N/A,#N/A,FALSE,"I&amp;E";#N/A,#N/A,FALSE,"rent roll";#N/A,#N/A,FALSE,"96noleaseup";#N/A,#N/A,FALSE,"96noleaseup matrix";#N/A,#N/A,FALSE,"leaseup 96";#N/A,#N/A,FALSE,"leaseup 96 matrix";#N/A,#N/A,FALSE,"Leaseup and Exp."}</definedName>
    <definedName name="jtyetrfdgbcv" hidden="1">{#N/A,#N/A,FALSE,"I&amp;E";#N/A,#N/A,FALSE,"rent roll";#N/A,#N/A,FALSE,"96noleaseup";#N/A,#N/A,FALSE,"96noleaseup matrix";#N/A,#N/A,FALSE,"leaseup 96";#N/A,#N/A,FALSE,"leaseup 96 matrix";#N/A,#N/A,FALSE,"Leaseup and Exp."}</definedName>
    <definedName name="jtyetrfdgbcv_1" hidden="1">{#N/A,#N/A,FALSE,"I&amp;E";#N/A,#N/A,FALSE,"rent roll";#N/A,#N/A,FALSE,"96noleaseup";#N/A,#N/A,FALSE,"96noleaseup matrix";#N/A,#N/A,FALSE,"leaseup 96";#N/A,#N/A,FALSE,"leaseup 96 matrix";#N/A,#N/A,FALSE,"Leaseup and Exp."}</definedName>
    <definedName name="jytyury" hidden="1">{#N/A,#N/A,FALSE,"I&amp;E";#N/A,#N/A,FALSE,"rent roll";#N/A,#N/A,FALSE,"96noleaseup";#N/A,#N/A,FALSE,"96noleaseup matrix";#N/A,#N/A,FALSE,"leaseup 96";#N/A,#N/A,FALSE,"leaseup 96 matrix";#N/A,#N/A,FALSE,"Leaseup and Exp."}</definedName>
    <definedName name="jytyury_1" hidden="1">{#N/A,#N/A,FALSE,"I&amp;E";#N/A,#N/A,FALSE,"rent roll";#N/A,#N/A,FALSE,"96noleaseup";#N/A,#N/A,FALSE,"96noleaseup matrix";#N/A,#N/A,FALSE,"leaseup 96";#N/A,#N/A,FALSE,"leaseup 96 matrix";#N/A,#N/A,FALSE,"Leaseup and Exp."}</definedName>
    <definedName name="kdkdfgg" hidden="1">{"Summary",#N/A,TRUE,"Fin. Summary";"Payroll",#N/A,TRUE,"Staffing";"Personnel Phasing",#N/A,TRUE,"Staffing"}</definedName>
    <definedName name="kdkdfgg_1" hidden="1">{"Summary",#N/A,TRUE,"Fin. Summary";"Payroll",#N/A,TRUE,"Staffing";"Personnel Phasing",#N/A,TRUE,"Staffing"}</definedName>
    <definedName name="kdkdgg" hidden="1">{#N/A,#N/A,FALSE,"I&amp;E";#N/A,#N/A,FALSE,"rent roll";#N/A,#N/A,FALSE,"96noleaseup";#N/A,#N/A,FALSE,"96noleaseup matrix";#N/A,#N/A,FALSE,"leaseup 96";#N/A,#N/A,FALSE,"leaseup 96 matrix";#N/A,#N/A,FALSE,"Leaseup and Exp."}</definedName>
    <definedName name="kdkdgg_1" hidden="1">{#N/A,#N/A,FALSE,"I&amp;E";#N/A,#N/A,FALSE,"rent roll";#N/A,#N/A,FALSE,"96noleaseup";#N/A,#N/A,FALSE,"96noleaseup matrix";#N/A,#N/A,FALSE,"leaseup 96";#N/A,#N/A,FALSE,"leaseup 96 matrix";#N/A,#N/A,FALSE,"Leaseup and Exp."}</definedName>
    <definedName name="kdkdkf" hidden="1">{#N/A,#N/A,FALSE,"I&amp;E";#N/A,#N/A,FALSE,"rent roll";#N/A,#N/A,FALSE,"96noleaseup";#N/A,#N/A,FALSE,"96noleaseup matrix";#N/A,#N/A,FALSE,"leaseup 96";#N/A,#N/A,FALSE,"leaseup 96 matrix";#N/A,#N/A,FALSE,"Leaseup and Exp."}</definedName>
    <definedName name="kdkdkf_1" hidden="1">{#N/A,#N/A,FALSE,"I&amp;E";#N/A,#N/A,FALSE,"rent roll";#N/A,#N/A,FALSE,"96noleaseup";#N/A,#N/A,FALSE,"96noleaseup matrix";#N/A,#N/A,FALSE,"leaseup 96";#N/A,#N/A,FALSE,"leaseup 96 matrix";#N/A,#N/A,FALSE,"Leaseup and Exp."}</definedName>
    <definedName name="kfgkhfkff" hidden="1">{#N/A,#N/A,FALSE,"I&amp;E";#N/A,#N/A,FALSE,"rent roll";#N/A,#N/A,FALSE,"96noleaseup";#N/A,#N/A,FALSE,"96noleaseup matrix";#N/A,#N/A,FALSE,"leaseup 96";#N/A,#N/A,FALSE,"leaseup 96 matrix";#N/A,#N/A,FALSE,"Leaseup and Exp."}</definedName>
    <definedName name="kfgkhfkff_1" hidden="1">{#N/A,#N/A,FALSE,"I&amp;E";#N/A,#N/A,FALSE,"rent roll";#N/A,#N/A,FALSE,"96noleaseup";#N/A,#N/A,FALSE,"96noleaseup matrix";#N/A,#N/A,FALSE,"leaseup 96";#N/A,#N/A,FALSE,"leaseup 96 matrix";#N/A,#N/A,FALSE,"Leaseup and Exp."}</definedName>
    <definedName name="kfkfkk" hidden="1">{#N/A,#N/A,FALSE,"I&amp;E";#N/A,#N/A,FALSE,"rent roll";#N/A,#N/A,FALSE,"96noleaseup";#N/A,#N/A,FALSE,"96noleaseup matrix";#N/A,#N/A,FALSE,"leaseup 96";#N/A,#N/A,FALSE,"leaseup 96 matrix";#N/A,#N/A,FALSE,"Leaseup and Exp."}</definedName>
    <definedName name="kfkfkk_1" hidden="1">{#N/A,#N/A,FALSE,"I&amp;E";#N/A,#N/A,FALSE,"rent roll";#N/A,#N/A,FALSE,"96noleaseup";#N/A,#N/A,FALSE,"96noleaseup matrix";#N/A,#N/A,FALSE,"leaseup 96";#N/A,#N/A,FALSE,"leaseup 96 matrix";#N/A,#N/A,FALSE,"Leaseup and Exp."}</definedName>
    <definedName name="kfkrkrkr" hidden="1">{#N/A,#N/A,FALSE,"I&amp;E";#N/A,#N/A,FALSE,"rent roll";#N/A,#N/A,FALSE,"96noleaseup";#N/A,#N/A,FALSE,"96noleaseup matrix";#N/A,#N/A,FALSE,"leaseup 96";#N/A,#N/A,FALSE,"leaseup 96 matrix";#N/A,#N/A,FALSE,"Leaseup and Exp."}</definedName>
    <definedName name="kfkrkrkr_1" hidden="1">{#N/A,#N/A,FALSE,"I&amp;E";#N/A,#N/A,FALSE,"rent roll";#N/A,#N/A,FALSE,"96noleaseup";#N/A,#N/A,FALSE,"96noleaseup matrix";#N/A,#N/A,FALSE,"leaseup 96";#N/A,#N/A,FALSE,"leaseup 96 matrix";#N/A,#N/A,FALSE,"Leaseup and Exp."}</definedName>
    <definedName name="kfyt" hidden="1">{#N/A,#N/A,FALSE,"I&amp;E";#N/A,#N/A,FALSE,"rent roll";#N/A,#N/A,FALSE,"96noleaseup";#N/A,#N/A,FALSE,"96noleaseup matrix";#N/A,#N/A,FALSE,"leaseup 96";#N/A,#N/A,FALSE,"leaseup 96 matrix";#N/A,#N/A,FALSE,"Leaseup and Exp."}</definedName>
    <definedName name="kfyt_1" hidden="1">{#N/A,#N/A,FALSE,"I&amp;E";#N/A,#N/A,FALSE,"rent roll";#N/A,#N/A,FALSE,"96noleaseup";#N/A,#N/A,FALSE,"96noleaseup matrix";#N/A,#N/A,FALSE,"leaseup 96";#N/A,#N/A,FALSE,"leaseup 96 matrix";#N/A,#N/A,FALSE,"Leaseup and Exp."}</definedName>
    <definedName name="khfgkh" hidden="1">{#N/A,#N/A,FALSE,"I&amp;E";#N/A,#N/A,FALSE,"rent roll";#N/A,#N/A,FALSE,"96noleaseup";#N/A,#N/A,FALSE,"96noleaseup matrix";#N/A,#N/A,FALSE,"leaseup 96";#N/A,#N/A,FALSE,"leaseup 96 matrix";#N/A,#N/A,FALSE,"Leaseup and Exp."}</definedName>
    <definedName name="khfgkh_1" hidden="1">{#N/A,#N/A,FALSE,"I&amp;E";#N/A,#N/A,FALSE,"rent roll";#N/A,#N/A,FALSE,"96noleaseup";#N/A,#N/A,FALSE,"96noleaseup matrix";#N/A,#N/A,FALSE,"leaseup 96";#N/A,#N/A,FALSE,"leaseup 96 matrix";#N/A,#N/A,FALSE,"Leaseup and Exp."}</definedName>
    <definedName name="khgkhf" hidden="1">{#N/A,#N/A,FALSE,"I&amp;E";#N/A,#N/A,FALSE,"rent roll";#N/A,#N/A,FALSE,"96noleaseup";#N/A,#N/A,FALSE,"96noleaseup matrix";#N/A,#N/A,FALSE,"leaseup 96";#N/A,#N/A,FALSE,"leaseup 96 matrix";#N/A,#N/A,FALSE,"Leaseup and Exp."}</definedName>
    <definedName name="khgkhf_1" hidden="1">{#N/A,#N/A,FALSE,"I&amp;E";#N/A,#N/A,FALSE,"rent roll";#N/A,#N/A,FALSE,"96noleaseup";#N/A,#N/A,FALSE,"96noleaseup matrix";#N/A,#N/A,FALSE,"leaseup 96";#N/A,#N/A,FALSE,"leaseup 96 matrix";#N/A,#N/A,FALSE,"Leaseup and Exp."}</definedName>
    <definedName name="kirukyruy" hidden="1">{#N/A,#N/A,FALSE,"I&amp;E";#N/A,#N/A,FALSE,"rent roll";#N/A,#N/A,FALSE,"96noleaseup";#N/A,#N/A,FALSE,"96noleaseup matrix";#N/A,#N/A,FALSE,"leaseup 96";#N/A,#N/A,FALSE,"leaseup 96 matrix";#N/A,#N/A,FALSE,"Leaseup and Exp."}</definedName>
    <definedName name="kirukyruy_1" hidden="1">{#N/A,#N/A,FALSE,"I&amp;E";#N/A,#N/A,FALSE,"rent roll";#N/A,#N/A,FALSE,"96noleaseup";#N/A,#N/A,FALSE,"96noleaseup matrix";#N/A,#N/A,FALSE,"leaseup 96";#N/A,#N/A,FALSE,"leaseup 96 matrix";#N/A,#N/A,FALSE,"Leaseup and Exp."}</definedName>
    <definedName name="kjgh" hidden="1">{#N/A,#N/A,FALSE,"I&amp;E";#N/A,#N/A,FALSE,"rent roll";#N/A,#N/A,FALSE,"96noleaseup";#N/A,#N/A,FALSE,"96noleaseup matrix";#N/A,#N/A,FALSE,"leaseup 96";#N/A,#N/A,FALSE,"leaseup 96 matrix";#N/A,#N/A,FALSE,"Leaseup and Exp."}</definedName>
    <definedName name="kjgh_1" hidden="1">{#N/A,#N/A,FALSE,"I&amp;E";#N/A,#N/A,FALSE,"rent roll";#N/A,#N/A,FALSE,"96noleaseup";#N/A,#N/A,FALSE,"96noleaseup matrix";#N/A,#N/A,FALSE,"leaseup 96";#N/A,#N/A,FALSE,"leaseup 96 matrix";#N/A,#N/A,FALSE,"Leaseup and Exp."}</definedName>
    <definedName name="kkkfff" hidden="1">{#N/A,#N/A,FALSE,"I&amp;E";#N/A,#N/A,FALSE,"rent roll";#N/A,#N/A,FALSE,"96noleaseup";#N/A,#N/A,FALSE,"96noleaseup matrix";#N/A,#N/A,FALSE,"leaseup 96";#N/A,#N/A,FALSE,"leaseup 96 matrix";#N/A,#N/A,FALSE,"Leaseup and Exp."}</definedName>
    <definedName name="kkkfff_1" hidden="1">{#N/A,#N/A,FALSE,"I&amp;E";#N/A,#N/A,FALSE,"rent roll";#N/A,#N/A,FALSE,"96noleaseup";#N/A,#N/A,FALSE,"96noleaseup matrix";#N/A,#N/A,FALSE,"leaseup 96";#N/A,#N/A,FALSE,"leaseup 96 matrix";#N/A,#N/A,FALSE,"Leaseup and Exp."}</definedName>
    <definedName name="krtkyr" hidden="1">{#N/A,#N/A,FALSE,"I&amp;E";#N/A,#N/A,FALSE,"rent roll";#N/A,#N/A,FALSE,"96noleaseup";#N/A,#N/A,FALSE,"96noleaseup matrix";#N/A,#N/A,FALSE,"leaseup 96";#N/A,#N/A,FALSE,"leaseup 96 matrix";#N/A,#N/A,FALSE,"Leaseup and Exp."}</definedName>
    <definedName name="krtkyr_1" hidden="1">{#N/A,#N/A,FALSE,"I&amp;E";#N/A,#N/A,FALSE,"rent roll";#N/A,#N/A,FALSE,"96noleaseup";#N/A,#N/A,FALSE,"96noleaseup matrix";#N/A,#N/A,FALSE,"leaseup 96";#N/A,#N/A,FALSE,"leaseup 96 matrix";#N/A,#N/A,FALSE,"Leaseup and Exp."}</definedName>
    <definedName name="kuyrk" hidden="1">{#N/A,#N/A,FALSE,"I&amp;E";#N/A,#N/A,FALSE,"rent roll";#N/A,#N/A,FALSE,"96noleaseup";#N/A,#N/A,FALSE,"96noleaseup matrix";#N/A,#N/A,FALSE,"leaseup 96";#N/A,#N/A,FALSE,"leaseup 96 matrix";#N/A,#N/A,FALSE,"Leaseup and Exp."}</definedName>
    <definedName name="kuyrk_1" hidden="1">{#N/A,#N/A,FALSE,"I&amp;E";#N/A,#N/A,FALSE,"rent roll";#N/A,#N/A,FALSE,"96noleaseup";#N/A,#N/A,FALSE,"96noleaseup matrix";#N/A,#N/A,FALSE,"leaseup 96";#N/A,#N/A,FALSE,"leaseup 96 matrix";#N/A,#N/A,FALSE,"Leaseup and Exp."}</definedName>
    <definedName name="kyd.ChngCell.01." hidden="1">#REF!</definedName>
    <definedName name="kyd.CounterLimitCell.01." hidden="1">"x"</definedName>
    <definedName name="kyd.Dim.01." hidden="1">"toad:Company"</definedName>
    <definedName name="kyd.ElementList.01." hidden="1">#REF!</definedName>
    <definedName name="kyd.ElementType.01." hidden="1">3</definedName>
    <definedName name="kyd.ItemType.01." hidden="1">2</definedName>
    <definedName name="kyd.NumLevels.01." hidden="1">999</definedName>
    <definedName name="kyd.ParentName.01." hidden="1">""</definedName>
    <definedName name="kyd.PrintParent.01." hidden="1">TRUE</definedName>
    <definedName name="kyd.SelectString.01." hidden="1">"*"</definedName>
    <definedName name="Leseup" hidden="1">{#N/A,#N/A,FALSE,"I&amp;E";#N/A,#N/A,FALSE,"rent roll";#N/A,#N/A,FALSE,"96noleaseup";#N/A,#N/A,FALSE,"96noleaseup matrix";#N/A,#N/A,FALSE,"leaseup 96";#N/A,#N/A,FALSE,"leaseup 96 matrix";#N/A,#N/A,FALSE,"Leaseup and Exp."}</definedName>
    <definedName name="lghjlgl" hidden="1">{#N/A,#N/A,FALSE,"I&amp;E";#N/A,#N/A,FALSE,"rent roll";#N/A,#N/A,FALSE,"96noleaseup";#N/A,#N/A,FALSE,"96noleaseup matrix";#N/A,#N/A,FALSE,"leaseup 96";#N/A,#N/A,FALSE,"leaseup 96 matrix";#N/A,#N/A,FALSE,"Leaseup and Exp."}</definedName>
    <definedName name="lghjlgl_1" hidden="1">{#N/A,#N/A,FALSE,"I&amp;E";#N/A,#N/A,FALSE,"rent roll";#N/A,#N/A,FALSE,"96noleaseup";#N/A,#N/A,FALSE,"96noleaseup matrix";#N/A,#N/A,FALSE,"leaseup 96";#N/A,#N/A,FALSE,"leaseup 96 matrix";#N/A,#N/A,FALSE,"Leaseup and Exp."}</definedName>
    <definedName name="lghlg" hidden="1">{#N/A,#N/A,FALSE,"I&amp;E";#N/A,#N/A,FALSE,"rent roll";#N/A,#N/A,FALSE,"96noleaseup";#N/A,#N/A,FALSE,"96noleaseup matrix";#N/A,#N/A,FALSE,"leaseup 96";#N/A,#N/A,FALSE,"leaseup 96 matrix";#N/A,#N/A,FALSE,"Leaseup and Exp."}</definedName>
    <definedName name="lghlg_1" hidden="1">{#N/A,#N/A,FALSE,"I&amp;E";#N/A,#N/A,FALSE,"rent roll";#N/A,#N/A,FALSE,"96noleaseup";#N/A,#N/A,FALSE,"96noleaseup matrix";#N/A,#N/A,FALSE,"leaseup 96";#N/A,#N/A,FALSE,"leaseup 96 matrix";#N/A,#N/A,FALSE,"Leaseup and Exp."}</definedName>
    <definedName name="lghljg" hidden="1">{#N/A,#N/A,FALSE,"I&amp;E";#N/A,#N/A,FALSE,"rent roll";#N/A,#N/A,FALSE,"96noleaseup";#N/A,#N/A,FALSE,"96noleaseup matrix";#N/A,#N/A,FALSE,"leaseup 96";#N/A,#N/A,FALSE,"leaseup 96 matrix";#N/A,#N/A,FALSE,"Leaseup and Exp."}</definedName>
    <definedName name="lghljg_1" hidden="1">{#N/A,#N/A,FALSE,"I&amp;E";#N/A,#N/A,FALSE,"rent roll";#N/A,#N/A,FALSE,"96noleaseup";#N/A,#N/A,FALSE,"96noleaseup matrix";#N/A,#N/A,FALSE,"leaseup 96";#N/A,#N/A,FALSE,"leaseup 96 matrix";#N/A,#N/A,FALSE,"Leaseup and Exp."}</definedName>
    <definedName name="lgjhlghlj" hidden="1">{#N/A,#N/A,TRUE,"Summary";#N/A,#N/A,TRUE,"Large Rev";#N/A,#N/A,TRUE,"Mid Rev";#N/A,#N/A,TRUE,"Small Rev";#N/A,#N/A,TRUE,"Stud Rev";#N/A,#N/A,TRUE,"Salaries";#N/A,#N/A,TRUE,"Adm &amp; Fin"}</definedName>
    <definedName name="lgjhlghlj_1" hidden="1">{#N/A,#N/A,TRUE,"Summary";#N/A,#N/A,TRUE,"Large Rev";#N/A,#N/A,TRUE,"Mid Rev";#N/A,#N/A,TRUE,"Small Rev";#N/A,#N/A,TRUE,"Stud Rev";#N/A,#N/A,TRUE,"Salaries";#N/A,#N/A,TRUE,"Adm &amp; Fin"}</definedName>
    <definedName name="mdtry" hidden="1">{#N/A,#N/A,FALSE,"I&amp;E";#N/A,#N/A,FALSE,"rent roll";#N/A,#N/A,FALSE,"96noleaseup";#N/A,#N/A,FALSE,"96noleaseup matrix";#N/A,#N/A,FALSE,"leaseup 96";#N/A,#N/A,FALSE,"leaseup 96 matrix";#N/A,#N/A,FALSE,"Leaseup and Exp."}</definedName>
    <definedName name="mdtry_1" hidden="1">{#N/A,#N/A,FALSE,"I&amp;E";#N/A,#N/A,FALSE,"rent roll";#N/A,#N/A,FALSE,"96noleaseup";#N/A,#N/A,FALSE,"96noleaseup matrix";#N/A,#N/A,FALSE,"leaseup 96";#N/A,#N/A,FALSE,"leaseup 96 matrix";#N/A,#N/A,FALSE,"Leaseup and Exp."}</definedName>
    <definedName name="mdytry" hidden="1">{#N/A,#N/A,FALSE,"I&amp;E";#N/A,#N/A,FALSE,"rent roll";#N/A,#N/A,FALSE,"96noleaseup";#N/A,#N/A,FALSE,"96noleaseup matrix";#N/A,#N/A,FALSE,"leaseup 96";#N/A,#N/A,FALSE,"leaseup 96 matrix";#N/A,#N/A,FALSE,"Leaseup and Exp."}</definedName>
    <definedName name="mdytry_1" hidden="1">{#N/A,#N/A,FALSE,"I&amp;E";#N/A,#N/A,FALSE,"rent roll";#N/A,#N/A,FALSE,"96noleaseup";#N/A,#N/A,FALSE,"96noleaseup matrix";#N/A,#N/A,FALSE,"leaseup 96";#N/A,#N/A,FALSE,"leaseup 96 matrix";#N/A,#N/A,FALSE,"Leaseup and Exp."}</definedName>
    <definedName name="mere" hidden="1">{#N/A,#N/A,FALSE,"I&amp;E";#N/A,#N/A,FALSE,"rent roll";#N/A,#N/A,FALSE,"96noleaseup";#N/A,#N/A,FALSE,"96noleaseup matrix";#N/A,#N/A,FALSE,"leaseup 96";#N/A,#N/A,FALSE,"leaseup 96 matrix";#N/A,#N/A,FALSE,"Leaseup and Exp."}</definedName>
    <definedName name="mere_1" hidden="1">{#N/A,#N/A,FALSE,"I&amp;E";#N/A,#N/A,FALSE,"rent roll";#N/A,#N/A,FALSE,"96noleaseup";#N/A,#N/A,FALSE,"96noleaseup matrix";#N/A,#N/A,FALSE,"leaseup 96";#N/A,#N/A,FALSE,"leaseup 96 matrix";#N/A,#N/A,FALSE,"Leaseup and Exp."}</definedName>
    <definedName name="merymy" hidden="1">{#N/A,#N/A,FALSE,"I&amp;E";#N/A,#N/A,FALSE,"rent roll";#N/A,#N/A,FALSE,"96noleaseup";#N/A,#N/A,FALSE,"96noleaseup matrix";#N/A,#N/A,FALSE,"leaseup 96";#N/A,#N/A,FALSE,"leaseup 96 matrix";#N/A,#N/A,FALSE,"Leaseup and Exp."}</definedName>
    <definedName name="merymy_1" hidden="1">{#N/A,#N/A,FALSE,"I&amp;E";#N/A,#N/A,FALSE,"rent roll";#N/A,#N/A,FALSE,"96noleaseup";#N/A,#N/A,FALSE,"96noleaseup matrix";#N/A,#N/A,FALSE,"leaseup 96";#N/A,#N/A,FALSE,"leaseup 96 matrix";#N/A,#N/A,FALSE,"Leaseup and Exp."}</definedName>
    <definedName name="meyrtyme" hidden="1">{#N/A,#N/A,FALSE,"I&amp;E";#N/A,#N/A,FALSE,"rent roll";#N/A,#N/A,FALSE,"96noleaseup";#N/A,#N/A,FALSE,"96noleaseup matrix";#N/A,#N/A,FALSE,"leaseup 96";#N/A,#N/A,FALSE,"leaseup 96 matrix";#N/A,#N/A,FALSE,"Leaseup and Exp."}</definedName>
    <definedName name="meyrtyme_1" hidden="1">{#N/A,#N/A,FALSE,"I&amp;E";#N/A,#N/A,FALSE,"rent roll";#N/A,#N/A,FALSE,"96noleaseup";#N/A,#N/A,FALSE,"96noleaseup matrix";#N/A,#N/A,FALSE,"leaseup 96";#N/A,#N/A,FALSE,"leaseup 96 matrix";#N/A,#N/A,FALSE,"Leaseup and Exp."}</definedName>
    <definedName name="mftyu" hidden="1">{#N/A,#N/A,FALSE,"I&amp;E";#N/A,#N/A,FALSE,"rent roll";#N/A,#N/A,FALSE,"96noleaseup";#N/A,#N/A,FALSE,"96noleaseup matrix";#N/A,#N/A,FALSE,"leaseup 96";#N/A,#N/A,FALSE,"leaseup 96 matrix";#N/A,#N/A,FALSE,"Leaseup and Exp."}</definedName>
    <definedName name="mftyu_1" hidden="1">{#N/A,#N/A,FALSE,"I&amp;E";#N/A,#N/A,FALSE,"rent roll";#N/A,#N/A,FALSE,"96noleaseup";#N/A,#N/A,FALSE,"96noleaseup matrix";#N/A,#N/A,FALSE,"leaseup 96";#N/A,#N/A,FALSE,"leaseup 96 matrix";#N/A,#N/A,FALSE,"Leaseup and Exp."}</definedName>
    <definedName name="mhhgmf" hidden="1">{#N/A,#N/A,FALSE,"I&amp;E";#N/A,#N/A,FALSE,"rent roll";#N/A,#N/A,FALSE,"96noleaseup";#N/A,#N/A,FALSE,"96noleaseup matrix";#N/A,#N/A,FALSE,"leaseup 96";#N/A,#N/A,FALSE,"leaseup 96 matrix";#N/A,#N/A,FALSE,"Leaseup and Exp."}</definedName>
    <definedName name="mhhgmf_1" hidden="1">{#N/A,#N/A,FALSE,"I&amp;E";#N/A,#N/A,FALSE,"rent roll";#N/A,#N/A,FALSE,"96noleaseup";#N/A,#N/A,FALSE,"96noleaseup matrix";#N/A,#N/A,FALSE,"leaseup 96";#N/A,#N/A,FALSE,"leaseup 96 matrix";#N/A,#N/A,FALSE,"Leaseup and Exp."}</definedName>
    <definedName name="mrtey" hidden="1">{#N/A,#N/A,FALSE,"I&amp;E";#N/A,#N/A,FALSE,"rent roll";#N/A,#N/A,FALSE,"96noleaseup";#N/A,#N/A,FALSE,"96noleaseup matrix";#N/A,#N/A,FALSE,"leaseup 96";#N/A,#N/A,FALSE,"leaseup 96 matrix";#N/A,#N/A,FALSE,"Leaseup and Exp."}</definedName>
    <definedName name="mrtey_1" hidden="1">{#N/A,#N/A,FALSE,"I&amp;E";#N/A,#N/A,FALSE,"rent roll";#N/A,#N/A,FALSE,"96noleaseup";#N/A,#N/A,FALSE,"96noleaseup matrix";#N/A,#N/A,FALSE,"leaseup 96";#N/A,#N/A,FALSE,"leaseup 96 matrix";#N/A,#N/A,FALSE,"Leaseup and Exp."}</definedName>
    <definedName name="mrteyt" hidden="1">{#N/A,#N/A,FALSE,"I&amp;E";#N/A,#N/A,FALSE,"rent roll";#N/A,#N/A,FALSE,"96noleaseup";#N/A,#N/A,FALSE,"96noleaseup matrix";#N/A,#N/A,FALSE,"leaseup 96";#N/A,#N/A,FALSE,"leaseup 96 matrix";#N/A,#N/A,FALSE,"Leaseup and Exp."}</definedName>
    <definedName name="mrteyt_1" hidden="1">{#N/A,#N/A,FALSE,"I&amp;E";#N/A,#N/A,FALSE,"rent roll";#N/A,#N/A,FALSE,"96noleaseup";#N/A,#N/A,FALSE,"96noleaseup matrix";#N/A,#N/A,FALSE,"leaseup 96";#N/A,#N/A,FALSE,"leaseup 96 matrix";#N/A,#N/A,FALSE,"Leaseup and Exp."}</definedName>
    <definedName name="mrtyere" hidden="1">{#N/A,#N/A,FALSE,"I&amp;E";#N/A,#N/A,FALSE,"rent roll";#N/A,#N/A,FALSE,"96noleaseup";#N/A,#N/A,FALSE,"96noleaseup matrix";#N/A,#N/A,FALSE,"leaseup 96";#N/A,#N/A,FALSE,"leaseup 96 matrix";#N/A,#N/A,FALSE,"Leaseup and Exp."}</definedName>
    <definedName name="mrtyere_1" hidden="1">{#N/A,#N/A,FALSE,"I&amp;E";#N/A,#N/A,FALSE,"rent roll";#N/A,#N/A,FALSE,"96noleaseup";#N/A,#N/A,FALSE,"96noleaseup matrix";#N/A,#N/A,FALSE,"leaseup 96";#N/A,#N/A,FALSE,"leaseup 96 matrix";#N/A,#N/A,FALSE,"Leaseup and Exp."}</definedName>
    <definedName name="mrtyety" hidden="1">{#N/A,#N/A,FALSE,"I&amp;E";#N/A,#N/A,FALSE,"rent roll";#N/A,#N/A,FALSE,"96noleaseup";#N/A,#N/A,FALSE,"96noleaseup matrix";#N/A,#N/A,FALSE,"leaseup 96";#N/A,#N/A,FALSE,"leaseup 96 matrix";#N/A,#N/A,FALSE,"Leaseup and Exp."}</definedName>
    <definedName name="mrtyety_1" hidden="1">{#N/A,#N/A,FALSE,"I&amp;E";#N/A,#N/A,FALSE,"rent roll";#N/A,#N/A,FALSE,"96noleaseup";#N/A,#N/A,FALSE,"96noleaseup matrix";#N/A,#N/A,FALSE,"leaseup 96";#N/A,#N/A,FALSE,"leaseup 96 matrix";#N/A,#N/A,FALSE,"Leaseup and Exp."}</definedName>
    <definedName name="mrtyey" hidden="1">{#N/A,#N/A,TRUE,"Summary";#N/A,#N/A,TRUE,"Large Rev";#N/A,#N/A,TRUE,"Mid Rev";#N/A,#N/A,TRUE,"Small Rev";#N/A,#N/A,TRUE,"Stud Rev";#N/A,#N/A,TRUE,"Salaries";#N/A,#N/A,TRUE,"Adm &amp; Fin"}</definedName>
    <definedName name="mrtyey_1" hidden="1">{#N/A,#N/A,TRUE,"Summary";#N/A,#N/A,TRUE,"Large Rev";#N/A,#N/A,TRUE,"Mid Rev";#N/A,#N/A,TRUE,"Small Rev";#N/A,#N/A,TRUE,"Stud Rev";#N/A,#N/A,TRUE,"Salaries";#N/A,#N/A,TRUE,"Adm &amp; Fin"}</definedName>
    <definedName name="msretes" hidden="1">{#N/A,#N/A,FALSE,"I&amp;E";#N/A,#N/A,FALSE,"rent roll";#N/A,#N/A,FALSE,"96noleaseup";#N/A,#N/A,FALSE,"96noleaseup matrix";#N/A,#N/A,FALSE,"leaseup 96";#N/A,#N/A,FALSE,"leaseup 96 matrix";#N/A,#N/A,FALSE,"Leaseup and Exp."}</definedName>
    <definedName name="msretes_1" hidden="1">{#N/A,#N/A,FALSE,"I&amp;E";#N/A,#N/A,FALSE,"rent roll";#N/A,#N/A,FALSE,"96noleaseup";#N/A,#N/A,FALSE,"96noleaseup matrix";#N/A,#N/A,FALSE,"leaseup 96";#N/A,#N/A,FALSE,"leaseup 96 matrix";#N/A,#N/A,FALSE,"Leaseup and Exp."}</definedName>
    <definedName name="mtreyrr" hidden="1">{#N/A,#N/A,TRUE,"Summary";#N/A,#N/A,TRUE,"Large Rev";#N/A,#N/A,TRUE,"Mid Rev";#N/A,#N/A,TRUE,"Small Rev";#N/A,#N/A,TRUE,"Stud Rev";#N/A,#N/A,TRUE,"Salaries";#N/A,#N/A,TRUE,"Adm &amp; Fin"}</definedName>
    <definedName name="mtreyrr_1" hidden="1">{#N/A,#N/A,TRUE,"Summary";#N/A,#N/A,TRUE,"Large Rev";#N/A,#N/A,TRUE,"Mid Rev";#N/A,#N/A,TRUE,"Small Rev";#N/A,#N/A,TRUE,"Stud Rev";#N/A,#N/A,TRUE,"Salaries";#N/A,#N/A,TRUE,"Adm &amp; Fin"}</definedName>
    <definedName name="mtute" hidden="1">{"Summary",#N/A,TRUE,"Fin. Summary";"Payroll",#N/A,TRUE,"Staffing";"Personnel Phasing",#N/A,TRUE,"Staffing"}</definedName>
    <definedName name="mtute_1" hidden="1">{"Summary",#N/A,TRUE,"Fin. Summary";"Payroll",#N/A,TRUE,"Staffing";"Personnel Phasing",#N/A,TRUE,"Staffing"}</definedName>
    <definedName name="mureu" hidden="1">{#N/A,#N/A,FALSE,"I&amp;E";#N/A,#N/A,FALSE,"rent roll";#N/A,#N/A,FALSE,"96noleaseup";#N/A,#N/A,FALSE,"96noleaseup matrix";#N/A,#N/A,FALSE,"leaseup 96";#N/A,#N/A,FALSE,"leaseup 96 matrix";#N/A,#N/A,FALSE,"Leaseup and Exp."}</definedName>
    <definedName name="mureu_1" hidden="1">{#N/A,#N/A,FALSE,"I&amp;E";#N/A,#N/A,FALSE,"rent roll";#N/A,#N/A,FALSE,"96noleaseup";#N/A,#N/A,FALSE,"96noleaseup matrix";#N/A,#N/A,FALSE,"leaseup 96";#N/A,#N/A,FALSE,"leaseup 96 matrix";#N/A,#N/A,FALSE,"Leaseup and Exp."}</definedName>
    <definedName name="muryu" hidden="1">{#N/A,#N/A,FALSE,"I&amp;E";#N/A,#N/A,FALSE,"rent roll";#N/A,#N/A,FALSE,"96noleaseup";#N/A,#N/A,FALSE,"96noleaseup matrix";#N/A,#N/A,FALSE,"leaseup 96";#N/A,#N/A,FALSE,"leaseup 96 matrix";#N/A,#N/A,FALSE,"Leaseup and Exp."}</definedName>
    <definedName name="muryu_1" hidden="1">{#N/A,#N/A,FALSE,"I&amp;E";#N/A,#N/A,FALSE,"rent roll";#N/A,#N/A,FALSE,"96noleaseup";#N/A,#N/A,FALSE,"96noleaseup matrix";#N/A,#N/A,FALSE,"leaseup 96";#N/A,#N/A,FALSE,"leaseup 96 matrix";#N/A,#N/A,FALSE,"Leaseup and Exp."}</definedName>
    <definedName name="mydrty" hidden="1">{#N/A,#N/A,FALSE,"I&amp;E";#N/A,#N/A,FALSE,"rent roll";#N/A,#N/A,FALSE,"96noleaseup";#N/A,#N/A,FALSE,"96noleaseup matrix";#N/A,#N/A,FALSE,"leaseup 96";#N/A,#N/A,FALSE,"leaseup 96 matrix";#N/A,#N/A,FALSE,"Leaseup and Exp."}</definedName>
    <definedName name="mydrty_1" hidden="1">{#N/A,#N/A,FALSE,"I&amp;E";#N/A,#N/A,FALSE,"rent roll";#N/A,#N/A,FALSE,"96noleaseup";#N/A,#N/A,FALSE,"96noleaseup matrix";#N/A,#N/A,FALSE,"leaseup 96";#N/A,#N/A,FALSE,"leaseup 96 matrix";#N/A,#N/A,FALSE,"Leaseup and Exp."}</definedName>
    <definedName name="myerym" hidden="1">{#N/A,#N/A,FALSE,"I&amp;E";#N/A,#N/A,FALSE,"rent roll";#N/A,#N/A,FALSE,"96noleaseup";#N/A,#N/A,FALSE,"96noleaseup matrix";#N/A,#N/A,FALSE,"leaseup 96";#N/A,#N/A,FALSE,"leaseup 96 matrix";#N/A,#N/A,FALSE,"Leaseup and Exp."}</definedName>
    <definedName name="myerym_1" hidden="1">{#N/A,#N/A,FALSE,"I&amp;E";#N/A,#N/A,FALSE,"rent roll";#N/A,#N/A,FALSE,"96noleaseup";#N/A,#N/A,FALSE,"96noleaseup matrix";#N/A,#N/A,FALSE,"leaseup 96";#N/A,#N/A,FALSE,"leaseup 96 matrix";#N/A,#N/A,FALSE,"Leaseup and Exp."}</definedName>
    <definedName name="myreye" hidden="1">{#N/A,#N/A,FALSE,"I&amp;E";#N/A,#N/A,FALSE,"rent roll";#N/A,#N/A,FALSE,"96noleaseup";#N/A,#N/A,FALSE,"96noleaseup matrix";#N/A,#N/A,FALSE,"leaseup 96";#N/A,#N/A,FALSE,"leaseup 96 matrix";#N/A,#N/A,FALSE,"Leaseup and Exp."}</definedName>
    <definedName name="myreye_1" hidden="1">{#N/A,#N/A,FALSE,"I&amp;E";#N/A,#N/A,FALSE,"rent roll";#N/A,#N/A,FALSE,"96noleaseup";#N/A,#N/A,FALSE,"96noleaseup matrix";#N/A,#N/A,FALSE,"leaseup 96";#N/A,#N/A,FALSE,"leaseup 96 matrix";#N/A,#N/A,FALSE,"Leaseup and Exp."}</definedName>
    <definedName name="myrme" hidden="1">{#N/A,#N/A,FALSE,"I&amp;E";#N/A,#N/A,FALSE,"rent roll";#N/A,#N/A,FALSE,"96noleaseup";#N/A,#N/A,FALSE,"96noleaseup matrix";#N/A,#N/A,FALSE,"leaseup 96";#N/A,#N/A,FALSE,"leaseup 96 matrix";#N/A,#N/A,FALSE,"Leaseup and Exp."}</definedName>
    <definedName name="myrme_1" hidden="1">{#N/A,#N/A,FALSE,"I&amp;E";#N/A,#N/A,FALSE,"rent roll";#N/A,#N/A,FALSE,"96noleaseup";#N/A,#N/A,FALSE,"96noleaseup matrix";#N/A,#N/A,FALSE,"leaseup 96";#N/A,#N/A,FALSE,"leaseup 96 matrix";#N/A,#N/A,FALSE,"Leaseup and Exp."}</definedName>
    <definedName name="myrtuy" hidden="1">{#N/A,#N/A,FALSE,"I&amp;E";#N/A,#N/A,FALSE,"rent roll";#N/A,#N/A,FALSE,"96noleaseup";#N/A,#N/A,FALSE,"96noleaseup matrix";#N/A,#N/A,FALSE,"leaseup 96";#N/A,#N/A,FALSE,"leaseup 96 matrix";#N/A,#N/A,FALSE,"Leaseup and Exp."}</definedName>
    <definedName name="myrtuy_1" hidden="1">{#N/A,#N/A,FALSE,"I&amp;E";#N/A,#N/A,FALSE,"rent roll";#N/A,#N/A,FALSE,"96noleaseup";#N/A,#N/A,FALSE,"96noleaseup matrix";#N/A,#N/A,FALSE,"leaseup 96";#N/A,#N/A,FALSE,"leaseup 96 matrix";#N/A,#N/A,FALSE,"Leaseup and Exp."}</definedName>
    <definedName name="mytrey" hidden="1">{"Summary",#N/A,TRUE,"Fin. Summary";"Payroll",#N/A,TRUE,"Staffing";"Personnel Phasing",#N/A,TRUE,"Staffing"}</definedName>
    <definedName name="mytrey_1" hidden="1">{"Summary",#N/A,TRUE,"Fin. Summary";"Payroll",#N/A,TRUE,"Staffing";"Personnel Phasing",#N/A,TRUE,"Staffing"}</definedName>
    <definedName name="myu" hidden="1">{#N/A,#N/A,FALSE,"I&amp;E";#N/A,#N/A,FALSE,"rent roll";#N/A,#N/A,FALSE,"96noleaseup";#N/A,#N/A,FALSE,"96noleaseup matrix";#N/A,#N/A,FALSE,"leaseup 96";#N/A,#N/A,FALSE,"leaseup 96 matrix";#N/A,#N/A,FALSE,"Leaseup and Exp."}</definedName>
    <definedName name="myu_1" hidden="1">{#N/A,#N/A,FALSE,"I&amp;E";#N/A,#N/A,FALSE,"rent roll";#N/A,#N/A,FALSE,"96noleaseup";#N/A,#N/A,FALSE,"96noleaseup matrix";#N/A,#N/A,FALSE,"leaseup 96";#N/A,#N/A,FALSE,"leaseup 96 matrix";#N/A,#N/A,FALSE,"Leaseup and Exp."}</definedName>
    <definedName name="n45wn" hidden="1">{#N/A,#N/A,TRUE,"Summary";#N/A,#N/A,TRUE,"Large Rev";#N/A,#N/A,TRUE,"Mid Rev";#N/A,#N/A,TRUE,"Small Rev";#N/A,#N/A,TRUE,"Stud Rev";#N/A,#N/A,TRUE,"Salaries";#N/A,#N/A,TRUE,"Adm &amp; Fin"}</definedName>
    <definedName name="n45wn_1" hidden="1">{#N/A,#N/A,TRUE,"Summary";#N/A,#N/A,TRUE,"Large Rev";#N/A,#N/A,TRUE,"Mid Rev";#N/A,#N/A,TRUE,"Small Rev";#N/A,#N/A,TRUE,"Stud Rev";#N/A,#N/A,TRUE,"Salaries";#N/A,#N/A,TRUE,"Adm &amp; Fin"}</definedName>
    <definedName name="nerwtrn" hidden="1">{#N/A,#N/A,FALSE,"I&amp;E";#N/A,#N/A,FALSE,"rent roll";#N/A,#N/A,FALSE,"96noleaseup";#N/A,#N/A,FALSE,"96noleaseup matrix";#N/A,#N/A,FALSE,"leaseup 96";#N/A,#N/A,FALSE,"leaseup 96 matrix";#N/A,#N/A,FALSE,"Leaseup and Exp."}</definedName>
    <definedName name="nerwtrn_1" hidden="1">{#N/A,#N/A,FALSE,"I&amp;E";#N/A,#N/A,FALSE,"rent roll";#N/A,#N/A,FALSE,"96noleaseup";#N/A,#N/A,FALSE,"96noleaseup matrix";#N/A,#N/A,FALSE,"leaseup 96";#N/A,#N/A,FALSE,"leaseup 96 matrix";#N/A,#N/A,FALSE,"Leaseup and Exp."}</definedName>
    <definedName name="nerywn" hidden="1">{#N/A,#N/A,FALSE,"I&amp;E";#N/A,#N/A,FALSE,"rent roll";#N/A,#N/A,FALSE,"96noleaseup";#N/A,#N/A,FALSE,"96noleaseup matrix";#N/A,#N/A,FALSE,"leaseup 96";#N/A,#N/A,FALSE,"leaseup 96 matrix";#N/A,#N/A,FALSE,"Leaseup and Exp."}</definedName>
    <definedName name="nerywn_1" hidden="1">{#N/A,#N/A,FALSE,"I&amp;E";#N/A,#N/A,FALSE,"rent roll";#N/A,#N/A,FALSE,"96noleaseup";#N/A,#N/A,FALSE,"96noleaseup matrix";#N/A,#N/A,FALSE,"leaseup 96";#N/A,#N/A,FALSE,"leaseup 96 matrix";#N/A,#N/A,FALSE,"Leaseup and Exp."}</definedName>
    <definedName name="netyenw" hidden="1">{#N/A,#N/A,FALSE,"I&amp;E";#N/A,#N/A,FALSE,"rent roll";#N/A,#N/A,FALSE,"96noleaseup";#N/A,#N/A,FALSE,"96noleaseup matrix";#N/A,#N/A,FALSE,"leaseup 96";#N/A,#N/A,FALSE,"leaseup 96 matrix";#N/A,#N/A,FALSE,"Leaseup and Exp."}</definedName>
    <definedName name="netyenw_1" hidden="1">{#N/A,#N/A,FALSE,"I&amp;E";#N/A,#N/A,FALSE,"rent roll";#N/A,#N/A,FALSE,"96noleaseup";#N/A,#N/A,FALSE,"96noleaseup matrix";#N/A,#N/A,FALSE,"leaseup 96";#N/A,#N/A,FALSE,"leaseup 96 matrix";#N/A,#N/A,FALSE,"Leaseup and Exp."}</definedName>
    <definedName name="none" hidden="1">{#N/A,#N/A,FALSE,"I&amp;E";#N/A,#N/A,FALSE,"rent roll";#N/A,#N/A,FALSE,"96noleaseup";#N/A,#N/A,FALSE,"96noleaseup matrix";#N/A,#N/A,FALSE,"leaseup 96";#N/A,#N/A,FALSE,"leaseup 96 matrix";#N/A,#N/A,FALSE,"Leaseup and Exp."}</definedName>
    <definedName name="none_1" hidden="1">{#N/A,#N/A,FALSE,"I&amp;E";#N/A,#N/A,FALSE,"rent roll";#N/A,#N/A,FALSE,"96noleaseup";#N/A,#N/A,FALSE,"96noleaseup matrix";#N/A,#N/A,FALSE,"leaseup 96";#N/A,#N/A,FALSE,"leaseup 96 matrix";#N/A,#N/A,FALSE,"Leaseup and Exp."}</definedName>
    <definedName name="nretw" hidden="1">{#N/A,#N/A,TRUE,"Summary";#N/A,#N/A,TRUE,"Large Rev";#N/A,#N/A,TRUE,"Mid Rev";#N/A,#N/A,TRUE,"Small Rev";#N/A,#N/A,TRUE,"Stud Rev";#N/A,#N/A,TRUE,"Salaries";#N/A,#N/A,TRUE,"Adm &amp; Fin"}</definedName>
    <definedName name="nretw_1" hidden="1">{#N/A,#N/A,TRUE,"Summary";#N/A,#N/A,TRUE,"Large Rev";#N/A,#N/A,TRUE,"Mid Rev";#N/A,#N/A,TRUE,"Small Rev";#N/A,#N/A,TRUE,"Stud Rev";#N/A,#N/A,TRUE,"Salaries";#N/A,#N/A,TRUE,"Adm &amp; Fin"}</definedName>
    <definedName name="nreyt" hidden="1">{#N/A,#N/A,FALSE,"I&amp;E";#N/A,#N/A,FALSE,"rent roll";#N/A,#N/A,FALSE,"96noleaseup";#N/A,#N/A,FALSE,"96noleaseup matrix";#N/A,#N/A,FALSE,"leaseup 96";#N/A,#N/A,FALSE,"leaseup 96 matrix";#N/A,#N/A,FALSE,"Leaseup and Exp."}</definedName>
    <definedName name="nreyt_1" hidden="1">{#N/A,#N/A,FALSE,"I&amp;E";#N/A,#N/A,FALSE,"rent roll";#N/A,#N/A,FALSE,"96noleaseup";#N/A,#N/A,FALSE,"96noleaseup matrix";#N/A,#N/A,FALSE,"leaseup 96";#N/A,#N/A,FALSE,"leaseup 96 matrix";#N/A,#N/A,FALSE,"Leaseup and Exp."}</definedName>
    <definedName name="nrtey" hidden="1">{#N/A,#N/A,FALSE,"I&amp;E";#N/A,#N/A,FALSE,"rent roll";#N/A,#N/A,FALSE,"96noleaseup";#N/A,#N/A,FALSE,"96noleaseup matrix";#N/A,#N/A,FALSE,"leaseup 96";#N/A,#N/A,FALSE,"leaseup 96 matrix";#N/A,#N/A,FALSE,"Leaseup and Exp."}</definedName>
    <definedName name="nrtey_1" hidden="1">{#N/A,#N/A,FALSE,"I&amp;E";#N/A,#N/A,FALSE,"rent roll";#N/A,#N/A,FALSE,"96noleaseup";#N/A,#N/A,FALSE,"96noleaseup matrix";#N/A,#N/A,FALSE,"leaseup 96";#N/A,#N/A,FALSE,"leaseup 96 matrix";#N/A,#N/A,FALSE,"Leaseup and Exp."}</definedName>
    <definedName name="nrwtenert" hidden="1">{#N/A,#N/A,FALSE,"I&amp;E";#N/A,#N/A,FALSE,"rent roll";#N/A,#N/A,FALSE,"96noleaseup";#N/A,#N/A,FALSE,"96noleaseup matrix";#N/A,#N/A,FALSE,"leaseup 96";#N/A,#N/A,FALSE,"leaseup 96 matrix";#N/A,#N/A,FALSE,"Leaseup and Exp."}</definedName>
    <definedName name="nrwtenert_1" hidden="1">{#N/A,#N/A,FALSE,"I&amp;E";#N/A,#N/A,FALSE,"rent roll";#N/A,#N/A,FALSE,"96noleaseup";#N/A,#N/A,FALSE,"96noleaseup matrix";#N/A,#N/A,FALSE,"leaseup 96";#N/A,#N/A,FALSE,"leaseup 96 matrix";#N/A,#N/A,FALSE,"Leaseup and Exp."}</definedName>
    <definedName name="nryret" hidden="1">{#N/A,#N/A,FALSE,"I&amp;E";#N/A,#N/A,FALSE,"rent roll";#N/A,#N/A,FALSE,"96noleaseup";#N/A,#N/A,FALSE,"96noleaseup matrix";#N/A,#N/A,FALSE,"leaseup 96";#N/A,#N/A,FALSE,"leaseup 96 matrix";#N/A,#N/A,FALSE,"Leaseup and Exp."}</definedName>
    <definedName name="nryret_1" hidden="1">{#N/A,#N/A,FALSE,"I&amp;E";#N/A,#N/A,FALSE,"rent roll";#N/A,#N/A,FALSE,"96noleaseup";#N/A,#N/A,FALSE,"96noleaseup matrix";#N/A,#N/A,FALSE,"leaseup 96";#N/A,#N/A,FALSE,"leaseup 96 matrix";#N/A,#N/A,FALSE,"Leaseup and Exp."}</definedName>
    <definedName name="ntewt" hidden="1">{#N/A,#N/A,FALSE,"I&amp;E";#N/A,#N/A,FALSE,"rent roll";#N/A,#N/A,FALSE,"96noleaseup";#N/A,#N/A,FALSE,"96noleaseup matrix";#N/A,#N/A,FALSE,"leaseup 96";#N/A,#N/A,FALSE,"leaseup 96 matrix";#N/A,#N/A,FALSE,"Leaseup and Exp."}</definedName>
    <definedName name="ntewt_1" hidden="1">{#N/A,#N/A,FALSE,"I&amp;E";#N/A,#N/A,FALSE,"rent roll";#N/A,#N/A,FALSE,"96noleaseup";#N/A,#N/A,FALSE,"96noleaseup matrix";#N/A,#N/A,FALSE,"leaseup 96";#N/A,#N/A,FALSE,"leaseup 96 matrix";#N/A,#N/A,FALSE,"Leaseup and Exp."}</definedName>
    <definedName name="nteyyte" hidden="1">{#N/A,#N/A,TRUE,"Summary";#N/A,#N/A,TRUE,"Large Rev";#N/A,#N/A,TRUE,"Mid Rev";#N/A,#N/A,TRUE,"Small Rev";#N/A,#N/A,TRUE,"Stud Rev";#N/A,#N/A,TRUE,"Salaries";#N/A,#N/A,TRUE,"Adm &amp; Fin"}</definedName>
    <definedName name="nteyyte_1" hidden="1">{#N/A,#N/A,TRUE,"Summary";#N/A,#N/A,TRUE,"Large Rev";#N/A,#N/A,TRUE,"Mid Rev";#N/A,#N/A,TRUE,"Small Rev";#N/A,#N/A,TRUE,"Stud Rev";#N/A,#N/A,TRUE,"Salaries";#N/A,#N/A,TRUE,"Adm &amp; Fin"}</definedName>
    <definedName name="ntrewt" hidden="1">{#N/A,#N/A,TRUE,"Summary";#N/A,#N/A,TRUE,"Large Rev";#N/A,#N/A,TRUE,"Mid Rev";#N/A,#N/A,TRUE,"Small Rev";#N/A,#N/A,TRUE,"Stud Rev";#N/A,#N/A,TRUE,"Salaries";#N/A,#N/A,TRUE,"Adm &amp; Fin"}</definedName>
    <definedName name="ntrewt_1" hidden="1">{#N/A,#N/A,TRUE,"Summary";#N/A,#N/A,TRUE,"Large Rev";#N/A,#N/A,TRUE,"Mid Rev";#N/A,#N/A,TRUE,"Small Rev";#N/A,#N/A,TRUE,"Stud Rev";#N/A,#N/A,TRUE,"Salaries";#N/A,#N/A,TRUE,"Adm &amp; Fin"}</definedName>
    <definedName name="ntsentss" hidden="1">{#N/A,#N/A,TRUE,"Summary";#N/A,#N/A,TRUE,"Large Rev";#N/A,#N/A,TRUE,"Mid Rev";#N/A,#N/A,TRUE,"Small Rev";#N/A,#N/A,TRUE,"Stud Rev";#N/A,#N/A,TRUE,"Salaries";#N/A,#N/A,TRUE,"Adm &amp; Fin"}</definedName>
    <definedName name="ntsentss_1" hidden="1">{#N/A,#N/A,TRUE,"Summary";#N/A,#N/A,TRUE,"Large Rev";#N/A,#N/A,TRUE,"Mid Rev";#N/A,#N/A,TRUE,"Small Rev";#N/A,#N/A,TRUE,"Stud Rev";#N/A,#N/A,TRUE,"Salaries";#N/A,#N/A,TRUE,"Adm &amp; Fin"}</definedName>
    <definedName name="nwertnert" hidden="1">{#N/A,#N/A,FALSE,"I&amp;E";#N/A,#N/A,FALSE,"rent roll";#N/A,#N/A,FALSE,"96noleaseup";#N/A,#N/A,FALSE,"96noleaseup matrix";#N/A,#N/A,FALSE,"leaseup 96";#N/A,#N/A,FALSE,"leaseup 96 matrix";#N/A,#N/A,FALSE,"Leaseup and Exp."}</definedName>
    <definedName name="nwertnert_1" hidden="1">{#N/A,#N/A,FALSE,"I&amp;E";#N/A,#N/A,FALSE,"rent roll";#N/A,#N/A,FALSE,"96noleaseup";#N/A,#N/A,FALSE,"96noleaseup matrix";#N/A,#N/A,FALSE,"leaseup 96";#N/A,#N/A,FALSE,"leaseup 96 matrix";#N/A,#N/A,FALSE,"Leaseup and Exp."}</definedName>
    <definedName name="nwertw" hidden="1">{#N/A,#N/A,FALSE,"I&amp;E";#N/A,#N/A,FALSE,"rent roll";#N/A,#N/A,FALSE,"96noleaseup";#N/A,#N/A,FALSE,"96noleaseup matrix";#N/A,#N/A,FALSE,"leaseup 96";#N/A,#N/A,FALSE,"leaseup 96 matrix";#N/A,#N/A,FALSE,"Leaseup and Exp."}</definedName>
    <definedName name="nwertw_1" hidden="1">{#N/A,#N/A,FALSE,"I&amp;E";#N/A,#N/A,FALSE,"rent roll";#N/A,#N/A,FALSE,"96noleaseup";#N/A,#N/A,FALSE,"96noleaseup matrix";#N/A,#N/A,FALSE,"leaseup 96";#N/A,#N/A,FALSE,"leaseup 96 matrix";#N/A,#N/A,FALSE,"Leaseup and Exp."}</definedName>
    <definedName name="nytenry" hidden="1">{"Summary",#N/A,TRUE,"Fin. Summary";"Payroll",#N/A,TRUE,"Staffing";"Personnel Phasing",#N/A,TRUE,"Staffing"}</definedName>
    <definedName name="nytenry_1" hidden="1">{"Summary",#N/A,TRUE,"Fin. Summary";"Payroll",#N/A,TRUE,"Staffing";"Personnel Phasing",#N/A,TRUE,"Staffing"}</definedName>
    <definedName name="o87t" hidden="1">{#N/A,#N/A,FALSE,"I&amp;E";#N/A,#N/A,FALSE,"rent roll";#N/A,#N/A,FALSE,"96noleaseup";#N/A,#N/A,FALSE,"96noleaseup matrix";#N/A,#N/A,FALSE,"leaseup 96";#N/A,#N/A,FALSE,"leaseup 96 matrix";#N/A,#N/A,FALSE,"Leaseup and Exp."}</definedName>
    <definedName name="o87t_1" hidden="1">{#N/A,#N/A,FALSE,"I&amp;E";#N/A,#N/A,FALSE,"rent roll";#N/A,#N/A,FALSE,"96noleaseup";#N/A,#N/A,FALSE,"96noleaseup matrix";#N/A,#N/A,FALSE,"leaseup 96";#N/A,#N/A,FALSE,"leaseup 96 matrix";#N/A,#N/A,FALSE,"Leaseup and Exp."}</definedName>
    <definedName name="opiupop" hidden="1">{#N/A,#N/A,FALSE,"I&amp;E";#N/A,#N/A,FALSE,"rent roll";#N/A,#N/A,FALSE,"96noleaseup";#N/A,#N/A,FALSE,"96noleaseup matrix";#N/A,#N/A,FALSE,"leaseup 96";#N/A,#N/A,FALSE,"leaseup 96 matrix";#N/A,#N/A,FALSE,"Leaseup and Exp."}</definedName>
    <definedName name="opiupop_1" hidden="1">{#N/A,#N/A,FALSE,"I&amp;E";#N/A,#N/A,FALSE,"rent roll";#N/A,#N/A,FALSE,"96noleaseup";#N/A,#N/A,FALSE,"96noleaseup matrix";#N/A,#N/A,FALSE,"leaseup 96";#N/A,#N/A,FALSE,"leaseup 96 matrix";#N/A,#N/A,FALSE,"Leaseup and Exp."}</definedName>
    <definedName name="otyu" hidden="1">{#N/A,#N/A,TRUE,"Summary";#N/A,#N/A,TRUE,"Large Rev";#N/A,#N/A,TRUE,"Mid Rev";#N/A,#N/A,TRUE,"Small Rev";#N/A,#N/A,TRUE,"Stud Rev";#N/A,#N/A,TRUE,"Salaries";#N/A,#N/A,TRUE,"Adm &amp; Fin"}</definedName>
    <definedName name="otyu_1" hidden="1">{#N/A,#N/A,TRUE,"Summary";#N/A,#N/A,TRUE,"Large Rev";#N/A,#N/A,TRUE,"Mid Rev";#N/A,#N/A,TRUE,"Small Rev";#N/A,#N/A,TRUE,"Stud Rev";#N/A,#N/A,TRUE,"Salaries";#N/A,#N/A,TRUE,"Adm &amp; Fin"}</definedName>
    <definedName name="ouytouo" hidden="1">{#N/A,#N/A,FALSE,"I&amp;E";#N/A,#N/A,FALSE,"rent roll";#N/A,#N/A,FALSE,"96noleaseup";#N/A,#N/A,FALSE,"96noleaseup matrix";#N/A,#N/A,FALSE,"leaseup 96";#N/A,#N/A,FALSE,"leaseup 96 matrix";#N/A,#N/A,FALSE,"Leaseup and Exp."}</definedName>
    <definedName name="ouytouo_1" hidden="1">{#N/A,#N/A,FALSE,"I&amp;E";#N/A,#N/A,FALSE,"rent roll";#N/A,#N/A,FALSE,"96noleaseup";#N/A,#N/A,FALSE,"96noleaseup matrix";#N/A,#N/A,FALSE,"leaseup 96";#N/A,#N/A,FALSE,"leaseup 96 matrix";#N/A,#N/A,FALSE,"Leaseup and Exp."}</definedName>
    <definedName name="pppyy" hidden="1">{#N/A,#N/A,FALSE,"I&amp;E";#N/A,#N/A,FALSE,"rent roll";#N/A,#N/A,FALSE,"96noleaseup";#N/A,#N/A,FALSE,"96noleaseup matrix";#N/A,#N/A,FALSE,"leaseup 96";#N/A,#N/A,FALSE,"leaseup 96 matrix";#N/A,#N/A,FALSE,"Leaseup and Exp."}</definedName>
    <definedName name="pppyy_1" hidden="1">{#N/A,#N/A,FALSE,"I&amp;E";#N/A,#N/A,FALSE,"rent roll";#N/A,#N/A,FALSE,"96noleaseup";#N/A,#N/A,FALSE,"96noleaseup matrix";#N/A,#N/A,FALSE,"leaseup 96";#N/A,#N/A,FALSE,"leaseup 96 matrix";#N/A,#N/A,FALSE,"Leaseup and Exp."}</definedName>
    <definedName name="Print_all" hidden="1">{#N/A,#N/A,FALSE,"I&amp;E";#N/A,#N/A,FALSE,"rent roll";#N/A,#N/A,FALSE,"96noleaseup";#N/A,#N/A,FALSE,"96noleaseup matrix";#N/A,#N/A,FALSE,"leaseup 96";#N/A,#N/A,FALSE,"leaseup 96 matrix";#N/A,#N/A,FALSE,"Leaseup and Exp."}</definedName>
    <definedName name="Print_all_1" hidden="1">{#N/A,#N/A,FALSE,"I&amp;E";#N/A,#N/A,FALSE,"rent roll";#N/A,#N/A,FALSE,"96noleaseup";#N/A,#N/A,FALSE,"96noleaseup matrix";#N/A,#N/A,FALSE,"leaseup 96";#N/A,#N/A,FALSE,"leaseup 96 matrix";#N/A,#N/A,FALSE,"Leaseup and Exp."}</definedName>
    <definedName name="qwrwer" hidden="1">{#N/A,#N/A,FALSE,"I&amp;E";#N/A,#N/A,FALSE,"rent roll";#N/A,#N/A,FALSE,"96noleaseup";#N/A,#N/A,FALSE,"96noleaseup matrix";#N/A,#N/A,FALSE,"leaseup 96";#N/A,#N/A,FALSE,"leaseup 96 matrix";#N/A,#N/A,FALSE,"Leaseup and Exp."}</definedName>
    <definedName name="qwrwer_1" hidden="1">{#N/A,#N/A,FALSE,"I&amp;E";#N/A,#N/A,FALSE,"rent roll";#N/A,#N/A,FALSE,"96noleaseup";#N/A,#N/A,FALSE,"96noleaseup matrix";#N/A,#N/A,FALSE,"leaseup 96";#N/A,#N/A,FALSE,"leaseup 96 matrix";#N/A,#N/A,FALSE,"Leaseup and Exp."}</definedName>
    <definedName name="renwt" hidden="1">{"Summary",#N/A,TRUE,"Fin. Summary";"Payroll",#N/A,TRUE,"Staffing";"Personnel Phasing",#N/A,TRUE,"Staffing"}</definedName>
    <definedName name="renwt_1" hidden="1">{"Summary",#N/A,TRUE,"Fin. Summary";"Payroll",#N/A,TRUE,"Staffing";"Personnel Phasing",#N/A,TRUE,"Staffing"}</definedName>
    <definedName name="retqwre" hidden="1">{#N/A,#N/A,FALSE,"I&amp;E";#N/A,#N/A,FALSE,"rent roll";#N/A,#N/A,FALSE,"96noleaseup";#N/A,#N/A,FALSE,"96noleaseup matrix";#N/A,#N/A,FALSE,"leaseup 96";#N/A,#N/A,FALSE,"leaseup 96 matrix";#N/A,#N/A,FALSE,"Leaseup and Exp."}</definedName>
    <definedName name="retqwre_1" hidden="1">{#N/A,#N/A,FALSE,"I&amp;E";#N/A,#N/A,FALSE,"rent roll";#N/A,#N/A,FALSE,"96noleaseup";#N/A,#N/A,FALSE,"96noleaseup matrix";#N/A,#N/A,FALSE,"leaseup 96";#N/A,#N/A,FALSE,"leaseup 96 matrix";#N/A,#N/A,FALSE,"Leaseup and Exp."}</definedName>
    <definedName name="retwrt" hidden="1">{#N/A,#N/A,FALSE,"I&amp;E";#N/A,#N/A,FALSE,"rent roll";#N/A,#N/A,FALSE,"96noleaseup";#N/A,#N/A,FALSE,"96noleaseup matrix";#N/A,#N/A,FALSE,"leaseup 96";#N/A,#N/A,FALSE,"leaseup 96 matrix";#N/A,#N/A,FALSE,"Leaseup and Exp."}</definedName>
    <definedName name="retwrt_1" hidden="1">{#N/A,#N/A,FALSE,"I&amp;E";#N/A,#N/A,FALSE,"rent roll";#N/A,#N/A,FALSE,"96noleaseup";#N/A,#N/A,FALSE,"96noleaseup matrix";#N/A,#N/A,FALSE,"leaseup 96";#N/A,#N/A,FALSE,"leaseup 96 matrix";#N/A,#N/A,FALSE,"Leaseup and Exp."}</definedName>
    <definedName name="retwrtw" hidden="1">{#N/A,#N/A,FALSE,"I&amp;E";#N/A,#N/A,FALSE,"rent roll";#N/A,#N/A,FALSE,"96noleaseup";#N/A,#N/A,FALSE,"96noleaseup matrix";#N/A,#N/A,FALSE,"leaseup 96";#N/A,#N/A,FALSE,"leaseup 96 matrix";#N/A,#N/A,FALSE,"Leaseup and Exp."}</definedName>
    <definedName name="retwrtw_1" hidden="1">{#N/A,#N/A,FALSE,"I&amp;E";#N/A,#N/A,FALSE,"rent roll";#N/A,#N/A,FALSE,"96noleaseup";#N/A,#N/A,FALSE,"96noleaseup matrix";#N/A,#N/A,FALSE,"leaseup 96";#N/A,#N/A,FALSE,"leaseup 96 matrix";#N/A,#N/A,FALSE,"Leaseup and Exp."}</definedName>
    <definedName name="rewtjwe" hidden="1">{#N/A,#N/A,FALSE,"I&amp;E";#N/A,#N/A,FALSE,"rent roll";#N/A,#N/A,FALSE,"96noleaseup";#N/A,#N/A,FALSE,"96noleaseup matrix";#N/A,#N/A,FALSE,"leaseup 96";#N/A,#N/A,FALSE,"leaseup 96 matrix";#N/A,#N/A,FALSE,"Leaseup and Exp."}</definedName>
    <definedName name="rewtjwe_1" hidden="1">{#N/A,#N/A,FALSE,"I&amp;E";#N/A,#N/A,FALSE,"rent roll";#N/A,#N/A,FALSE,"96noleaseup";#N/A,#N/A,FALSE,"96noleaseup matrix";#N/A,#N/A,FALSE,"leaseup 96";#N/A,#N/A,FALSE,"leaseup 96 matrix";#N/A,#N/A,FALSE,"Leaseup and Exp."}</definedName>
    <definedName name="rewtr" hidden="1">{#N/A,#N/A,FALSE,"I&amp;E";#N/A,#N/A,FALSE,"rent roll";#N/A,#N/A,FALSE,"96noleaseup";#N/A,#N/A,FALSE,"96noleaseup matrix";#N/A,#N/A,FALSE,"leaseup 96";#N/A,#N/A,FALSE,"leaseup 96 matrix";#N/A,#N/A,FALSE,"Leaseup and Exp."}</definedName>
    <definedName name="rewtr_1" hidden="1">{#N/A,#N/A,FALSE,"I&amp;E";#N/A,#N/A,FALSE,"rent roll";#N/A,#N/A,FALSE,"96noleaseup";#N/A,#N/A,FALSE,"96noleaseup matrix";#N/A,#N/A,FALSE,"leaseup 96";#N/A,#N/A,FALSE,"leaseup 96 matrix";#N/A,#N/A,FALSE,"Leaseup and Exp."}</definedName>
    <definedName name="reywery" hidden="1">{#N/A,#N/A,FALSE,"I&amp;E";#N/A,#N/A,FALSE,"rent roll";#N/A,#N/A,FALSE,"96noleaseup";#N/A,#N/A,FALSE,"96noleaseup matrix";#N/A,#N/A,FALSE,"leaseup 96";#N/A,#N/A,FALSE,"leaseup 96 matrix";#N/A,#N/A,FALSE,"Leaseup and Exp."}</definedName>
    <definedName name="reywery_1" hidden="1">{#N/A,#N/A,FALSE,"I&amp;E";#N/A,#N/A,FALSE,"rent roll";#N/A,#N/A,FALSE,"96noleaseup";#N/A,#N/A,FALSE,"96noleaseup matrix";#N/A,#N/A,FALSE,"leaseup 96";#N/A,#N/A,FALSE,"leaseup 96 matrix";#N/A,#N/A,FALSE,"Leaseup and Exp."}</definedName>
    <definedName name="rjsrtjhsrgjhs" hidden="1">{#N/A,#N/A,FALSE,"I&amp;E";#N/A,#N/A,FALSE,"rent roll";#N/A,#N/A,FALSE,"96noleaseup";#N/A,#N/A,FALSE,"96noleaseup matrix";#N/A,#N/A,FALSE,"leaseup 96";#N/A,#N/A,FALSE,"leaseup 96 matrix";#N/A,#N/A,FALSE,"Leaseup and Exp."}</definedName>
    <definedName name="rjsrtjhsrgjhs_1" hidden="1">{#N/A,#N/A,FALSE,"I&amp;E";#N/A,#N/A,FALSE,"rent roll";#N/A,#N/A,FALSE,"96noleaseup";#N/A,#N/A,FALSE,"96noleaseup matrix";#N/A,#N/A,FALSE,"leaseup 96";#N/A,#N/A,FALSE,"leaseup 96 matrix";#N/A,#N/A,FALSE,"Leaseup and Exp."}</definedName>
    <definedName name="rtdjjtr" hidden="1">{"Summary",#N/A,TRUE,"Fin. Summary";"Payroll",#N/A,TRUE,"Staffing";"Personnel Phasing",#N/A,TRUE,"Staffing"}</definedName>
    <definedName name="rtdjjtr_1" hidden="1">{"Summary",#N/A,TRUE,"Fin. Summary";"Payroll",#N/A,TRUE,"Staffing";"Personnel Phasing",#N/A,TRUE,"Staffing"}</definedName>
    <definedName name="rtyu" hidden="1">{#N/A,#N/A,FALSE,"I&amp;E";#N/A,#N/A,FALSE,"rent roll";#N/A,#N/A,FALSE,"96noleaseup";#N/A,#N/A,FALSE,"96noleaseup matrix";#N/A,#N/A,FALSE,"leaseup 96";#N/A,#N/A,FALSE,"leaseup 96 matrix";#N/A,#N/A,FALSE,"Leaseup and Exp."}</definedName>
    <definedName name="rtyu_1" hidden="1">{#N/A,#N/A,FALSE,"I&amp;E";#N/A,#N/A,FALSE,"rent roll";#N/A,#N/A,FALSE,"96noleaseup";#N/A,#N/A,FALSE,"96noleaseup matrix";#N/A,#N/A,FALSE,"leaseup 96";#N/A,#N/A,FALSE,"leaseup 96 matrix";#N/A,#N/A,FALSE,"Leaseup and Exp."}</definedName>
    <definedName name="rtyur" hidden="1">{#N/A,#N/A,FALSE,"I&amp;E";#N/A,#N/A,FALSE,"rent roll";#N/A,#N/A,FALSE,"96noleaseup";#N/A,#N/A,FALSE,"96noleaseup matrix";#N/A,#N/A,FALSE,"leaseup 96";#N/A,#N/A,FALSE,"leaseup 96 matrix";#N/A,#N/A,FALSE,"Leaseup and Exp."}</definedName>
    <definedName name="rtyur_1" hidden="1">{#N/A,#N/A,FALSE,"I&amp;E";#N/A,#N/A,FALSE,"rent roll";#N/A,#N/A,FALSE,"96noleaseup";#N/A,#N/A,FALSE,"96noleaseup matrix";#N/A,#N/A,FALSE,"leaseup 96";#N/A,#N/A,FALSE,"leaseup 96 matrix";#N/A,#N/A,FALSE,"Leaseup and Exp."}</definedName>
    <definedName name="ruedsur" hidden="1">{#N/A,#N/A,FALSE,"I&amp;E";#N/A,#N/A,FALSE,"rent roll";#N/A,#N/A,FALSE,"96noleaseup";#N/A,#N/A,FALSE,"96noleaseup matrix";#N/A,#N/A,FALSE,"leaseup 96";#N/A,#N/A,FALSE,"leaseup 96 matrix";#N/A,#N/A,FALSE,"Leaseup and Exp."}</definedName>
    <definedName name="ruedsur_1" hidden="1">{#N/A,#N/A,FALSE,"I&amp;E";#N/A,#N/A,FALSE,"rent roll";#N/A,#N/A,FALSE,"96noleaseup";#N/A,#N/A,FALSE,"96noleaseup matrix";#N/A,#N/A,FALSE,"leaseup 96";#N/A,#N/A,FALSE,"leaseup 96 matrix";#N/A,#N/A,FALSE,"Leaseup and Exp."}</definedName>
    <definedName name="rueu" hidden="1">{#N/A,#N/A,FALSE,"I&amp;E";#N/A,#N/A,FALSE,"rent roll";#N/A,#N/A,FALSE,"96noleaseup";#N/A,#N/A,FALSE,"96noleaseup matrix";#N/A,#N/A,FALSE,"leaseup 96";#N/A,#N/A,FALSE,"leaseup 96 matrix";#N/A,#N/A,FALSE,"Leaseup and Exp."}</definedName>
    <definedName name="rueu_1" hidden="1">{#N/A,#N/A,FALSE,"I&amp;E";#N/A,#N/A,FALSE,"rent roll";#N/A,#N/A,FALSE,"96noleaseup";#N/A,#N/A,FALSE,"96noleaseup matrix";#N/A,#N/A,FALSE,"leaseup 96";#N/A,#N/A,FALSE,"leaseup 96 matrix";#N/A,#N/A,FALSE,"Leaseup and Exp."}</definedName>
    <definedName name="ryewry" hidden="1">{#N/A,#N/A,FALSE,"I&amp;E";#N/A,#N/A,FALSE,"rent roll";#N/A,#N/A,FALSE,"96noleaseup";#N/A,#N/A,FALSE,"96noleaseup matrix";#N/A,#N/A,FALSE,"leaseup 96";#N/A,#N/A,FALSE,"leaseup 96 matrix";#N/A,#N/A,FALSE,"Leaseup and Exp."}</definedName>
    <definedName name="ryewry_1" hidden="1">{#N/A,#N/A,FALSE,"I&amp;E";#N/A,#N/A,FALSE,"rent roll";#N/A,#N/A,FALSE,"96noleaseup";#N/A,#N/A,FALSE,"96noleaseup matrix";#N/A,#N/A,FALSE,"leaseup 96";#N/A,#N/A,FALSE,"leaseup 96 matrix";#N/A,#N/A,FALSE,"Leaseup and Exp."}</definedName>
    <definedName name="ryewyr" hidden="1">{#N/A,#N/A,TRUE,"Summary";#N/A,#N/A,TRUE,"Large Rev";#N/A,#N/A,TRUE,"Mid Rev";#N/A,#N/A,TRUE,"Small Rev";#N/A,#N/A,TRUE,"Stud Rev";#N/A,#N/A,TRUE,"Salaries";#N/A,#N/A,TRUE,"Adm &amp; Fin"}</definedName>
    <definedName name="ryewyr_1" hidden="1">{#N/A,#N/A,TRUE,"Summary";#N/A,#N/A,TRUE,"Large Rev";#N/A,#N/A,TRUE,"Mid Rev";#N/A,#N/A,TRUE,"Small Rev";#N/A,#N/A,TRUE,"Stud Rev";#N/A,#N/A,TRUE,"Salaries";#N/A,#N/A,TRUE,"Adm &amp; Fin"}</definedName>
    <definedName name="ryjk" hidden="1">{#N/A,#N/A,FALSE,"I&amp;E";#N/A,#N/A,FALSE,"rent roll";#N/A,#N/A,FALSE,"96noleaseup";#N/A,#N/A,FALSE,"96noleaseup matrix";#N/A,#N/A,FALSE,"leaseup 96";#N/A,#N/A,FALSE,"leaseup 96 matrix";#N/A,#N/A,FALSE,"Leaseup and Exp."}</definedName>
    <definedName name="ryjk_1" hidden="1">{#N/A,#N/A,FALSE,"I&amp;E";#N/A,#N/A,FALSE,"rent roll";#N/A,#N/A,FALSE,"96noleaseup";#N/A,#N/A,FALSE,"96noleaseup matrix";#N/A,#N/A,FALSE,"leaseup 96";#N/A,#N/A,FALSE,"leaseup 96 matrix";#N/A,#N/A,FALSE,"Leaseup and Exp."}</definedName>
    <definedName name="ryte" hidden="1">{#N/A,#N/A,TRUE,"Summary";#N/A,#N/A,TRUE,"Large Rev";#N/A,#N/A,TRUE,"Mid Rev";#N/A,#N/A,TRUE,"Small Rev";#N/A,#N/A,TRUE,"Stud Rev";#N/A,#N/A,TRUE,"Salaries";#N/A,#N/A,TRUE,"Adm &amp; Fin"}</definedName>
    <definedName name="ryte_1" hidden="1">{#N/A,#N/A,TRUE,"Summary";#N/A,#N/A,TRUE,"Large Rev";#N/A,#N/A,TRUE,"Mid Rev";#N/A,#N/A,TRUE,"Small Rev";#N/A,#N/A,TRUE,"Stud Rev";#N/A,#N/A,TRUE,"Salaries";#N/A,#N/A,TRUE,"Adm &amp; Fin"}</definedName>
    <definedName name="rytkf" hidden="1">{#N/A,#N/A,FALSE,"I&amp;E";#N/A,#N/A,FALSE,"rent roll";#N/A,#N/A,FALSE,"96noleaseup";#N/A,#N/A,FALSE,"96noleaseup matrix";#N/A,#N/A,FALSE,"leaseup 96";#N/A,#N/A,FALSE,"leaseup 96 matrix";#N/A,#N/A,FALSE,"Leaseup and Exp."}</definedName>
    <definedName name="rytkf_1" hidden="1">{#N/A,#N/A,FALSE,"I&amp;E";#N/A,#N/A,FALSE,"rent roll";#N/A,#N/A,FALSE,"96noleaseup";#N/A,#N/A,FALSE,"96noleaseup matrix";#N/A,#N/A,FALSE,"leaseup 96";#N/A,#N/A,FALSE,"leaseup 96 matrix";#N/A,#N/A,FALSE,"Leaseup and Exp."}</definedName>
    <definedName name="s" hidden="1">{#N/A,#N/A,FALSE,"I&amp;E";#N/A,#N/A,FALSE,"rent roll";#N/A,#N/A,FALSE,"96noleaseup";#N/A,#N/A,FALSE,"96noleaseup matrix";#N/A,#N/A,FALSE,"leaseup 96";#N/A,#N/A,FALSE,"leaseup 96 matrix";#N/A,#N/A,FALSE,"Leaseup and Exp."}</definedName>
    <definedName name="s_1" hidden="1">{#N/A,#N/A,FALSE,"I&amp;E";#N/A,#N/A,FALSE,"rent roll";#N/A,#N/A,FALSE,"96noleaseup";#N/A,#N/A,FALSE,"96noleaseup matrix";#N/A,#N/A,FALSE,"leaseup 96";#N/A,#N/A,FALSE,"leaseup 96 matrix";#N/A,#N/A,FALSE,"Leaseup and Exp."}</definedName>
    <definedName name="sda" hidden="1">{#N/A,#N/A,FALSE,"I&amp;E";#N/A,#N/A,FALSE,"rent roll";#N/A,#N/A,FALSE,"96noleaseup";#N/A,#N/A,FALSE,"96noleaseup matrix";#N/A,#N/A,FALSE,"leaseup 96";#N/A,#N/A,FALSE,"leaseup 96 matrix";#N/A,#N/A,FALSE,"Leaseup and Exp."}</definedName>
    <definedName name="sda_1" hidden="1">{#N/A,#N/A,FALSE,"I&amp;E";#N/A,#N/A,FALSE,"rent roll";#N/A,#N/A,FALSE,"96noleaseup";#N/A,#N/A,FALSE,"96noleaseup matrix";#N/A,#N/A,FALSE,"leaseup 96";#N/A,#N/A,FALSE,"leaseup 96 matrix";#N/A,#N/A,FALSE,"Leaseup and Exp."}</definedName>
    <definedName name="sdafsd" hidden="1">{#N/A,#N/A,FALSE,"I&amp;E";#N/A,#N/A,FALSE,"rent roll";#N/A,#N/A,FALSE,"96noleaseup";#N/A,#N/A,FALSE,"96noleaseup matrix";#N/A,#N/A,FALSE,"leaseup 96";#N/A,#N/A,FALSE,"leaseup 96 matrix";#N/A,#N/A,FALSE,"Leaseup and Exp."}</definedName>
    <definedName name="sdafsd_1" hidden="1">{#N/A,#N/A,FALSE,"I&amp;E";#N/A,#N/A,FALSE,"rent roll";#N/A,#N/A,FALSE,"96noleaseup";#N/A,#N/A,FALSE,"96noleaseup matrix";#N/A,#N/A,FALSE,"leaseup 96";#N/A,#N/A,FALSE,"leaseup 96 matrix";#N/A,#N/A,FALSE,"Leaseup and Exp."}</definedName>
    <definedName name="sdg" hidden="1">{#N/A,#N/A,FALSE,"I&amp;E";#N/A,#N/A,FALSE,"rent roll";#N/A,#N/A,FALSE,"96noleaseup";#N/A,#N/A,FALSE,"96noleaseup matrix";#N/A,#N/A,FALSE,"leaseup 96";#N/A,#N/A,FALSE,"leaseup 96 matrix";#N/A,#N/A,FALSE,"Leaseup and Exp."}</definedName>
    <definedName name="sdg_1" hidden="1">{#N/A,#N/A,FALSE,"I&amp;E";#N/A,#N/A,FALSE,"rent roll";#N/A,#N/A,FALSE,"96noleaseup";#N/A,#N/A,FALSE,"96noleaseup matrix";#N/A,#N/A,FALSE,"leaseup 96";#N/A,#N/A,FALSE,"leaseup 96 matrix";#N/A,#N/A,FALSE,"Leaseup and Exp."}</definedName>
    <definedName name="sdgrsg" hidden="1">{#N/A,#N/A,FALSE,"I&amp;E";#N/A,#N/A,FALSE,"rent roll";#N/A,#N/A,FALSE,"96noleaseup";#N/A,#N/A,FALSE,"96noleaseup matrix";#N/A,#N/A,FALSE,"leaseup 96";#N/A,#N/A,FALSE,"leaseup 96 matrix";#N/A,#N/A,FALSE,"Leaseup and Exp."}</definedName>
    <definedName name="sdgrsg_1" hidden="1">{#N/A,#N/A,FALSE,"I&amp;E";#N/A,#N/A,FALSE,"rent roll";#N/A,#N/A,FALSE,"96noleaseup";#N/A,#N/A,FALSE,"96noleaseup matrix";#N/A,#N/A,FALSE,"leaseup 96";#N/A,#N/A,FALSE,"leaseup 96 matrix";#N/A,#N/A,FALSE,"Leaseup and Exp."}</definedName>
    <definedName name="sertnesrttn" hidden="1">{#N/A,#N/A,FALSE,"I&amp;E";#N/A,#N/A,FALSE,"rent roll";#N/A,#N/A,FALSE,"96noleaseup";#N/A,#N/A,FALSE,"96noleaseup matrix";#N/A,#N/A,FALSE,"leaseup 96";#N/A,#N/A,FALSE,"leaseup 96 matrix";#N/A,#N/A,FALSE,"Leaseup and Exp."}</definedName>
    <definedName name="sertnesrttn_1" hidden="1">{#N/A,#N/A,FALSE,"I&amp;E";#N/A,#N/A,FALSE,"rent roll";#N/A,#N/A,FALSE,"96noleaseup";#N/A,#N/A,FALSE,"96noleaseup matrix";#N/A,#N/A,FALSE,"leaseup 96";#N/A,#N/A,FALSE,"leaseup 96 matrix";#N/A,#N/A,FALSE,"Leaseup and Exp."}</definedName>
    <definedName name="sete" hidden="1">{#N/A,#N/A,FALSE,"I&amp;E";#N/A,#N/A,FALSE,"rent roll";#N/A,#N/A,FALSE,"96noleaseup";#N/A,#N/A,FALSE,"96noleaseup matrix";#N/A,#N/A,FALSE,"leaseup 96";#N/A,#N/A,FALSE,"leaseup 96 matrix";#N/A,#N/A,FALSE,"Leaseup and Exp."}</definedName>
    <definedName name="sete_1" hidden="1">{#N/A,#N/A,FALSE,"I&amp;E";#N/A,#N/A,FALSE,"rent roll";#N/A,#N/A,FALSE,"96noleaseup";#N/A,#N/A,FALSE,"96noleaseup matrix";#N/A,#N/A,FALSE,"leaseup 96";#N/A,#N/A,FALSE,"leaseup 96 matrix";#N/A,#N/A,FALSE,"Leaseup and Exp."}</definedName>
    <definedName name="sfdf" hidden="1">{#N/A,#N/A,FALSE,"I&amp;E";#N/A,#N/A,FALSE,"rent roll";#N/A,#N/A,FALSE,"96noleaseup";#N/A,#N/A,FALSE,"96noleaseup matrix";#N/A,#N/A,FALSE,"leaseup 96";#N/A,#N/A,FALSE,"leaseup 96 matrix";#N/A,#N/A,FALSE,"Leaseup and Exp."}</definedName>
    <definedName name="sfdf_1" hidden="1">{#N/A,#N/A,FALSE,"I&amp;E";#N/A,#N/A,FALSE,"rent roll";#N/A,#N/A,FALSE,"96noleaseup";#N/A,#N/A,FALSE,"96noleaseup matrix";#N/A,#N/A,FALSE,"leaseup 96";#N/A,#N/A,FALSE,"leaseup 96 matrix";#N/A,#N/A,FALSE,"Leaseup and Exp."}</definedName>
    <definedName name="sfdg" hidden="1">{#N/A,#N/A,FALSE,"I&amp;E";#N/A,#N/A,FALSE,"rent roll";#N/A,#N/A,FALSE,"96noleaseup";#N/A,#N/A,FALSE,"96noleaseup matrix";#N/A,#N/A,FALSE,"leaseup 96";#N/A,#N/A,FALSE,"leaseup 96 matrix";#N/A,#N/A,FALSE,"Leaseup and Exp."}</definedName>
    <definedName name="sfdg_1" hidden="1">{#N/A,#N/A,FALSE,"I&amp;E";#N/A,#N/A,FALSE,"rent roll";#N/A,#N/A,FALSE,"96noleaseup";#N/A,#N/A,FALSE,"96noleaseup matrix";#N/A,#N/A,FALSE,"leaseup 96";#N/A,#N/A,FALSE,"leaseup 96 matrix";#N/A,#N/A,FALSE,"Leaseup and Exp."}</definedName>
    <definedName name="sfdgs" hidden="1">{#N/A,#N/A,TRUE,"Summary";#N/A,#N/A,TRUE,"Large Rev";#N/A,#N/A,TRUE,"Mid Rev";#N/A,#N/A,TRUE,"Small Rev";#N/A,#N/A,TRUE,"Stud Rev";#N/A,#N/A,TRUE,"Salaries";#N/A,#N/A,TRUE,"Adm &amp; Fin"}</definedName>
    <definedName name="sfdgs_1" hidden="1">{#N/A,#N/A,TRUE,"Summary";#N/A,#N/A,TRUE,"Large Rev";#N/A,#N/A,TRUE,"Mid Rev";#N/A,#N/A,TRUE,"Small Rev";#N/A,#N/A,TRUE,"Stud Rev";#N/A,#N/A,TRUE,"Salaries";#N/A,#N/A,TRUE,"Adm &amp; Fin"}</definedName>
    <definedName name="sfgsd" hidden="1">{#N/A,#N/A,FALSE,"I&amp;E";#N/A,#N/A,FALSE,"rent roll";#N/A,#N/A,FALSE,"96noleaseup";#N/A,#N/A,FALSE,"96noleaseup matrix";#N/A,#N/A,FALSE,"leaseup 96";#N/A,#N/A,FALSE,"leaseup 96 matrix";#N/A,#N/A,FALSE,"Leaseup and Exp."}</definedName>
    <definedName name="sfgsd_1" hidden="1">{#N/A,#N/A,FALSE,"I&amp;E";#N/A,#N/A,FALSE,"rent roll";#N/A,#N/A,FALSE,"96noleaseup";#N/A,#N/A,FALSE,"96noleaseup matrix";#N/A,#N/A,FALSE,"leaseup 96";#N/A,#N/A,FALSE,"leaseup 96 matrix";#N/A,#N/A,FALSE,"Leaseup and Exp."}</definedName>
    <definedName name="shfdh" hidden="1">{#N/A,#N/A,FALSE,"I&amp;E";#N/A,#N/A,FALSE,"rent roll";#N/A,#N/A,FALSE,"96noleaseup";#N/A,#N/A,FALSE,"96noleaseup matrix";#N/A,#N/A,FALSE,"leaseup 96";#N/A,#N/A,FALSE,"leaseup 96 matrix";#N/A,#N/A,FALSE,"Leaseup and Exp."}</definedName>
    <definedName name="shfdh_1" hidden="1">{#N/A,#N/A,FALSE,"I&amp;E";#N/A,#N/A,FALSE,"rent roll";#N/A,#N/A,FALSE,"96noleaseup";#N/A,#N/A,FALSE,"96noleaseup matrix";#N/A,#N/A,FALSE,"leaseup 96";#N/A,#N/A,FALSE,"leaseup 96 matrix";#N/A,#N/A,FALSE,"Leaseup and Exp."}</definedName>
    <definedName name="shffds" hidden="1">{#N/A,#N/A,FALSE,"I&amp;E";#N/A,#N/A,FALSE,"rent roll";#N/A,#N/A,FALSE,"96noleaseup";#N/A,#N/A,FALSE,"96noleaseup matrix";#N/A,#N/A,FALSE,"leaseup 96";#N/A,#N/A,FALSE,"leaseup 96 matrix";#N/A,#N/A,FALSE,"Leaseup and Exp."}</definedName>
    <definedName name="shffds_1" hidden="1">{#N/A,#N/A,FALSE,"I&amp;E";#N/A,#N/A,FALSE,"rent roll";#N/A,#N/A,FALSE,"96noleaseup";#N/A,#N/A,FALSE,"96noleaseup matrix";#N/A,#N/A,FALSE,"leaseup 96";#N/A,#N/A,FALSE,"leaseup 96 matrix";#N/A,#N/A,FALSE,"Leaseup and Exp."}</definedName>
    <definedName name="shsfd" hidden="1">{#N/A,#N/A,FALSE,"I&amp;E";#N/A,#N/A,FALSE,"rent roll";#N/A,#N/A,FALSE,"96noleaseup";#N/A,#N/A,FALSE,"96noleaseup matrix";#N/A,#N/A,FALSE,"leaseup 96";#N/A,#N/A,FALSE,"leaseup 96 matrix";#N/A,#N/A,FALSE,"Leaseup and Exp."}</definedName>
    <definedName name="shsfd_1" hidden="1">{#N/A,#N/A,FALSE,"I&amp;E";#N/A,#N/A,FALSE,"rent roll";#N/A,#N/A,FALSE,"96noleaseup";#N/A,#N/A,FALSE,"96noleaseup matrix";#N/A,#N/A,FALSE,"leaseup 96";#N/A,#N/A,FALSE,"leaseup 96 matrix";#N/A,#N/A,FALSE,"Leaseup and Exp."}</definedName>
    <definedName name="sjterts" hidden="1">{"Summary",#N/A,TRUE,"Fin. Summary";"Payroll",#N/A,TRUE,"Staffing";"Personnel Phasing",#N/A,TRUE,"Staffing"}</definedName>
    <definedName name="sjterts_1" hidden="1">{"Summary",#N/A,TRUE,"Fin. Summary";"Payroll",#N/A,TRUE,"Staffing";"Personnel Phasing",#N/A,TRUE,"Staffing"}</definedName>
    <definedName name="srsjtfj" hidden="1">{#N/A,#N/A,FALSE,"I&amp;E";#N/A,#N/A,FALSE,"rent roll";#N/A,#N/A,FALSE,"96noleaseup";#N/A,#N/A,FALSE,"96noleaseup matrix";#N/A,#N/A,FALSE,"leaseup 96";#N/A,#N/A,FALSE,"leaseup 96 matrix";#N/A,#N/A,FALSE,"Leaseup and Exp."}</definedName>
    <definedName name="srsjtfj_1" hidden="1">{#N/A,#N/A,FALSE,"I&amp;E";#N/A,#N/A,FALSE,"rent roll";#N/A,#N/A,FALSE,"96noleaseup";#N/A,#N/A,FALSE,"96noleaseup matrix";#N/A,#N/A,FALSE,"leaseup 96";#N/A,#N/A,FALSE,"leaseup 96 matrix";#N/A,#N/A,FALSE,"Leaseup and Exp."}</definedName>
    <definedName name="srst" hidden="1">{#N/A,#N/A,FALSE,"I&amp;E";#N/A,#N/A,FALSE,"rent roll";#N/A,#N/A,FALSE,"96noleaseup";#N/A,#N/A,FALSE,"96noleaseup matrix";#N/A,#N/A,FALSE,"leaseup 96";#N/A,#N/A,FALSE,"leaseup 96 matrix";#N/A,#N/A,FALSE,"Leaseup and Exp."}</definedName>
    <definedName name="srst_1" hidden="1">{#N/A,#N/A,FALSE,"I&amp;E";#N/A,#N/A,FALSE,"rent roll";#N/A,#N/A,FALSE,"96noleaseup";#N/A,#N/A,FALSE,"96noleaseup matrix";#N/A,#N/A,FALSE,"leaseup 96";#N/A,#N/A,FALSE,"leaseup 96 matrix";#N/A,#N/A,FALSE,"Leaseup and Exp."}</definedName>
    <definedName name="ssfhhs" hidden="1">{#N/A,#N/A,TRUE,"Summary";#N/A,#N/A,TRUE,"Large Rev";#N/A,#N/A,TRUE,"Mid Rev";#N/A,#N/A,TRUE,"Small Rev";#N/A,#N/A,TRUE,"Stud Rev";#N/A,#N/A,TRUE,"Salaries";#N/A,#N/A,TRUE,"Adm &amp; Fin"}</definedName>
    <definedName name="ssfhhs_1" hidden="1">{#N/A,#N/A,TRUE,"Summary";#N/A,#N/A,TRUE,"Large Rev";#N/A,#N/A,TRUE,"Mid Rev";#N/A,#N/A,TRUE,"Small Rev";#N/A,#N/A,TRUE,"Stud Rev";#N/A,#N/A,TRUE,"Salaries";#N/A,#N/A,TRUE,"Adm &amp; Fin"}</definedName>
    <definedName name="stsrjsr" hidden="1">{#N/A,#N/A,TRUE,"Summary";#N/A,#N/A,TRUE,"Large Rev";#N/A,#N/A,TRUE,"Mid Rev";#N/A,#N/A,TRUE,"Small Rev";#N/A,#N/A,TRUE,"Stud Rev";#N/A,#N/A,TRUE,"Salaries";#N/A,#N/A,TRUE,"Adm &amp; Fin"}</definedName>
    <definedName name="stsrjsr_1" hidden="1">{#N/A,#N/A,TRUE,"Summary";#N/A,#N/A,TRUE,"Large Rev";#N/A,#N/A,TRUE,"Mid Rev";#N/A,#N/A,TRUE,"Small Rev";#N/A,#N/A,TRUE,"Stud Rev";#N/A,#N/A,TRUE,"Salaries";#N/A,#N/A,TRUE,"Adm &amp; Fin"}</definedName>
    <definedName name="table2out2" hidden="1">#REF!</definedName>
    <definedName name="table2out3" hidden="1">#REF!</definedName>
    <definedName name="tbewrtb" hidden="1">{#N/A,#N/A,FALSE,"I&amp;E";#N/A,#N/A,FALSE,"rent roll";#N/A,#N/A,FALSE,"96noleaseup";#N/A,#N/A,FALSE,"96noleaseup matrix";#N/A,#N/A,FALSE,"leaseup 96";#N/A,#N/A,FALSE,"leaseup 96 matrix";#N/A,#N/A,FALSE,"Leaseup and Exp."}</definedName>
    <definedName name="tbewrtb_1" hidden="1">{#N/A,#N/A,FALSE,"I&amp;E";#N/A,#N/A,FALSE,"rent roll";#N/A,#N/A,FALSE,"96noleaseup";#N/A,#N/A,FALSE,"96noleaseup matrix";#N/A,#N/A,FALSE,"leaseup 96";#N/A,#N/A,FALSE,"leaseup 96 matrix";#N/A,#N/A,FALSE,"Leaseup and Exp."}</definedName>
    <definedName name="tdfhgdh" hidden="1">{#N/A,#N/A,FALSE,"I&amp;E";#N/A,#N/A,FALSE,"rent roll";#N/A,#N/A,FALSE,"96noleaseup";#N/A,#N/A,FALSE,"96noleaseup matrix";#N/A,#N/A,FALSE,"leaseup 96";#N/A,#N/A,FALSE,"leaseup 96 matrix";#N/A,#N/A,FALSE,"Leaseup and Exp."}</definedName>
    <definedName name="tdfhgdh_1" hidden="1">{#N/A,#N/A,FALSE,"I&amp;E";#N/A,#N/A,FALSE,"rent roll";#N/A,#N/A,FALSE,"96noleaseup";#N/A,#N/A,FALSE,"96noleaseup matrix";#N/A,#N/A,FALSE,"leaseup 96";#N/A,#N/A,FALSE,"leaseup 96 matrix";#N/A,#N/A,FALSE,"Leaseup and Exp."}</definedName>
    <definedName name="tdgfh" hidden="1">{#N/A,#N/A,FALSE,"I&amp;E";#N/A,#N/A,FALSE,"rent roll";#N/A,#N/A,FALSE,"96noleaseup";#N/A,#N/A,FALSE,"96noleaseup matrix";#N/A,#N/A,FALSE,"leaseup 96";#N/A,#N/A,FALSE,"leaseup 96 matrix";#N/A,#N/A,FALSE,"Leaseup and Exp."}</definedName>
    <definedName name="tdgfh_1" hidden="1">{#N/A,#N/A,FALSE,"I&amp;E";#N/A,#N/A,FALSE,"rent roll";#N/A,#N/A,FALSE,"96noleaseup";#N/A,#N/A,FALSE,"96noleaseup matrix";#N/A,#N/A,FALSE,"leaseup 96";#N/A,#N/A,FALSE,"leaseup 96 matrix";#N/A,#N/A,FALSE,"Leaseup and Exp."}</definedName>
    <definedName name="tdrktx" hidden="1">{#N/A,#N/A,FALSE,"I&amp;E";#N/A,#N/A,FALSE,"rent roll";#N/A,#N/A,FALSE,"96noleaseup";#N/A,#N/A,FALSE,"96noleaseup matrix";#N/A,#N/A,FALSE,"leaseup 96";#N/A,#N/A,FALSE,"leaseup 96 matrix";#N/A,#N/A,FALSE,"Leaseup and Exp."}</definedName>
    <definedName name="tdrktx_1" hidden="1">{#N/A,#N/A,FALSE,"I&amp;E";#N/A,#N/A,FALSE,"rent roll";#N/A,#N/A,FALSE,"96noleaseup";#N/A,#N/A,FALSE,"96noleaseup matrix";#N/A,#N/A,FALSE,"leaseup 96";#N/A,#N/A,FALSE,"leaseup 96 matrix";#N/A,#N/A,FALSE,"Leaseup and Exp."}</definedName>
    <definedName name="tea" hidden="1">#REF!</definedName>
    <definedName name="teeet" hidden="1">{#N/A,#N/A,FALSE,"I&amp;E";#N/A,#N/A,FALSE,"rent roll";#N/A,#N/A,FALSE,"96noleaseup";#N/A,#N/A,FALSE,"96noleaseup matrix";#N/A,#N/A,FALSE,"leaseup 96";#N/A,#N/A,FALSE,"leaseup 96 matrix";#N/A,#N/A,FALSE,"Leaseup and Exp."}</definedName>
    <definedName name="teeet_1" hidden="1">{#N/A,#N/A,FALSE,"I&amp;E";#N/A,#N/A,FALSE,"rent roll";#N/A,#N/A,FALSE,"96noleaseup";#N/A,#N/A,FALSE,"96noleaseup matrix";#N/A,#N/A,FALSE,"leaseup 96";#N/A,#N/A,FALSE,"leaseup 96 matrix";#N/A,#N/A,FALSE,"Leaseup and Exp."}</definedName>
    <definedName name="terwmtr" hidden="1">{#N/A,#N/A,TRUE,"Summary";#N/A,#N/A,TRUE,"Large Rev";#N/A,#N/A,TRUE,"Mid Rev";#N/A,#N/A,TRUE,"Small Rev";#N/A,#N/A,TRUE,"Stud Rev";#N/A,#N/A,TRUE,"Salaries";#N/A,#N/A,TRUE,"Adm &amp; Fin"}</definedName>
    <definedName name="terwmtr_1" hidden="1">{#N/A,#N/A,TRUE,"Summary";#N/A,#N/A,TRUE,"Large Rev";#N/A,#N/A,TRUE,"Mid Rev";#N/A,#N/A,TRUE,"Small Rev";#N/A,#N/A,TRUE,"Stud Rev";#N/A,#N/A,TRUE,"Salaries";#N/A,#N/A,TRUE,"Adm &amp; Fin"}</definedName>
    <definedName name="teykjyur" hidden="1">{#N/A,#N/A,TRUE,"Summary";#N/A,#N/A,TRUE,"Large Rev";#N/A,#N/A,TRUE,"Mid Rev";#N/A,#N/A,TRUE,"Small Rev";#N/A,#N/A,TRUE,"Stud Rev";#N/A,#N/A,TRUE,"Salaries";#N/A,#N/A,TRUE,"Adm &amp; Fin"}</definedName>
    <definedName name="teykjyur_1" hidden="1">{#N/A,#N/A,TRUE,"Summary";#N/A,#N/A,TRUE,"Large Rev";#N/A,#N/A,TRUE,"Mid Rev";#N/A,#N/A,TRUE,"Small Rev";#N/A,#N/A,TRUE,"Stud Rev";#N/A,#N/A,TRUE,"Salaries";#N/A,#N/A,TRUE,"Adm &amp; Fin"}</definedName>
    <definedName name="tghertedgas" hidden="1">{#N/A,#N/A,FALSE,"I&amp;E";#N/A,#N/A,FALSE,"rent roll";#N/A,#N/A,FALSE,"96noleaseup";#N/A,#N/A,FALSE,"96noleaseup matrix";#N/A,#N/A,FALSE,"leaseup 96";#N/A,#N/A,FALSE,"leaseup 96 matrix";#N/A,#N/A,FALSE,"Leaseup and Exp."}</definedName>
    <definedName name="tghertedgas_1" hidden="1">{#N/A,#N/A,FALSE,"I&amp;E";#N/A,#N/A,FALSE,"rent roll";#N/A,#N/A,FALSE,"96noleaseup";#N/A,#N/A,FALSE,"96noleaseup matrix";#N/A,#N/A,FALSE,"leaseup 96";#N/A,#N/A,FALSE,"leaseup 96 matrix";#N/A,#N/A,FALSE,"Leaseup and Exp."}</definedName>
    <definedName name="thjdjgh" hidden="1">{#N/A,#N/A,FALSE,"I&amp;E";#N/A,#N/A,FALSE,"rent roll";#N/A,#N/A,FALSE,"96noleaseup";#N/A,#N/A,FALSE,"96noleaseup matrix";#N/A,#N/A,FALSE,"leaseup 96";#N/A,#N/A,FALSE,"leaseup 96 matrix";#N/A,#N/A,FALSE,"Leaseup and Exp."}</definedName>
    <definedName name="thjdjgh_1" hidden="1">{#N/A,#N/A,FALSE,"I&amp;E";#N/A,#N/A,FALSE,"rent roll";#N/A,#N/A,FALSE,"96noleaseup";#N/A,#N/A,FALSE,"96noleaseup matrix";#N/A,#N/A,FALSE,"leaseup 96";#N/A,#N/A,FALSE,"leaseup 96 matrix";#N/A,#N/A,FALSE,"Leaseup and Exp."}</definedName>
    <definedName name="trdt" hidden="1">{#N/A,#N/A,FALSE,"I&amp;E";#N/A,#N/A,FALSE,"rent roll";#N/A,#N/A,FALSE,"96noleaseup";#N/A,#N/A,FALSE,"96noleaseup matrix";#N/A,#N/A,FALSE,"leaseup 96";#N/A,#N/A,FALSE,"leaseup 96 matrix";#N/A,#N/A,FALSE,"Leaseup and Exp."}</definedName>
    <definedName name="trdt_1" hidden="1">{#N/A,#N/A,FALSE,"I&amp;E";#N/A,#N/A,FALSE,"rent roll";#N/A,#N/A,FALSE,"96noleaseup";#N/A,#N/A,FALSE,"96noleaseup matrix";#N/A,#N/A,FALSE,"leaseup 96";#N/A,#N/A,FALSE,"leaseup 96 matrix";#N/A,#N/A,FALSE,"Leaseup and Exp."}</definedName>
    <definedName name="trettttue" hidden="1">{#N/A,#N/A,FALSE,"I&amp;E";#N/A,#N/A,FALSE,"rent roll";#N/A,#N/A,FALSE,"96noleaseup";#N/A,#N/A,FALSE,"96noleaseup matrix";#N/A,#N/A,FALSE,"leaseup 96";#N/A,#N/A,FALSE,"leaseup 96 matrix";#N/A,#N/A,FALSE,"Leaseup and Exp."}</definedName>
    <definedName name="trettttue_1" hidden="1">{#N/A,#N/A,FALSE,"I&amp;E";#N/A,#N/A,FALSE,"rent roll";#N/A,#N/A,FALSE,"96noleaseup";#N/A,#N/A,FALSE,"96noleaseup matrix";#N/A,#N/A,FALSE,"leaseup 96";#N/A,#N/A,FALSE,"leaseup 96 matrix";#N/A,#N/A,FALSE,"Leaseup and Exp."}</definedName>
    <definedName name="trewtr" hidden="1">{"Summary",#N/A,TRUE,"Fin. Summary";"Payroll",#N/A,TRUE,"Staffing";"Personnel Phasing",#N/A,TRUE,"Staffing"}</definedName>
    <definedName name="trewtr_1" hidden="1">{"Summary",#N/A,TRUE,"Fin. Summary";"Payroll",#N/A,TRUE,"Staffing";"Personnel Phasing",#N/A,TRUE,"Staffing"}</definedName>
    <definedName name="treyter" hidden="1">{#N/A,#N/A,TRUE,"Summary";#N/A,#N/A,TRUE,"Large Rev";#N/A,#N/A,TRUE,"Mid Rev";#N/A,#N/A,TRUE,"Small Rev";#N/A,#N/A,TRUE,"Stud Rev";#N/A,#N/A,TRUE,"Salaries";#N/A,#N/A,TRUE,"Adm &amp; Fin"}</definedName>
    <definedName name="treyter_1" hidden="1">{#N/A,#N/A,TRUE,"Summary";#N/A,#N/A,TRUE,"Large Rev";#N/A,#N/A,TRUE,"Mid Rev";#N/A,#N/A,TRUE,"Small Rev";#N/A,#N/A,TRUE,"Stud Rev";#N/A,#N/A,TRUE,"Salaries";#N/A,#N/A,TRUE,"Adm &amp; Fin"}</definedName>
    <definedName name="truertut" hidden="1">{#N/A,#N/A,FALSE,"I&amp;E";#N/A,#N/A,FALSE,"rent roll";#N/A,#N/A,FALSE,"96noleaseup";#N/A,#N/A,FALSE,"96noleaseup matrix";#N/A,#N/A,FALSE,"leaseup 96";#N/A,#N/A,FALSE,"leaseup 96 matrix";#N/A,#N/A,FALSE,"Leaseup and Exp."}</definedName>
    <definedName name="truertut_1" hidden="1">{#N/A,#N/A,FALSE,"I&amp;E";#N/A,#N/A,FALSE,"rent roll";#N/A,#N/A,FALSE,"96noleaseup";#N/A,#N/A,FALSE,"96noleaseup matrix";#N/A,#N/A,FALSE,"leaseup 96";#N/A,#N/A,FALSE,"leaseup 96 matrix";#N/A,#N/A,FALSE,"Leaseup and Exp."}</definedName>
    <definedName name="truuy" hidden="1">{#N/A,#N/A,FALSE,"I&amp;E";#N/A,#N/A,FALSE,"rent roll";#N/A,#N/A,FALSE,"96noleaseup";#N/A,#N/A,FALSE,"96noleaseup matrix";#N/A,#N/A,FALSE,"leaseup 96";#N/A,#N/A,FALSE,"leaseup 96 matrix";#N/A,#N/A,FALSE,"Leaseup and Exp."}</definedName>
    <definedName name="truuy_1" hidden="1">{#N/A,#N/A,FALSE,"I&amp;E";#N/A,#N/A,FALSE,"rent roll";#N/A,#N/A,FALSE,"96noleaseup";#N/A,#N/A,FALSE,"96noleaseup matrix";#N/A,#N/A,FALSE,"leaseup 96";#N/A,#N/A,FALSE,"leaseup 96 matrix";#N/A,#N/A,FALSE,"Leaseup and Exp."}</definedName>
    <definedName name="tryert" hidden="1">{#N/A,#N/A,FALSE,"I&amp;E";#N/A,#N/A,FALSE,"rent roll";#N/A,#N/A,FALSE,"96noleaseup";#N/A,#N/A,FALSE,"96noleaseup matrix";#N/A,#N/A,FALSE,"leaseup 96";#N/A,#N/A,FALSE,"leaseup 96 matrix";#N/A,#N/A,FALSE,"Leaseup and Exp."}</definedName>
    <definedName name="tryert_1" hidden="1">{#N/A,#N/A,FALSE,"I&amp;E";#N/A,#N/A,FALSE,"rent roll";#N/A,#N/A,FALSE,"96noleaseup";#N/A,#N/A,FALSE,"96noleaseup matrix";#N/A,#N/A,FALSE,"leaseup 96";#N/A,#N/A,FALSE,"leaseup 96 matrix";#N/A,#N/A,FALSE,"Leaseup and Exp."}</definedName>
    <definedName name="tryetd" hidden="1">{#N/A,#N/A,FALSE,"I&amp;E";#N/A,#N/A,FALSE,"rent roll";#N/A,#N/A,FALSE,"96noleaseup";#N/A,#N/A,FALSE,"96noleaseup matrix";#N/A,#N/A,FALSE,"leaseup 96";#N/A,#N/A,FALSE,"leaseup 96 matrix";#N/A,#N/A,FALSE,"Leaseup and Exp."}</definedName>
    <definedName name="tryetd_1" hidden="1">{#N/A,#N/A,FALSE,"I&amp;E";#N/A,#N/A,FALSE,"rent roll";#N/A,#N/A,FALSE,"96noleaseup";#N/A,#N/A,FALSE,"96noleaseup matrix";#N/A,#N/A,FALSE,"leaseup 96";#N/A,#N/A,FALSE,"leaseup 96 matrix";#N/A,#N/A,FALSE,"Leaseup and Exp."}</definedName>
    <definedName name="tryety" hidden="1">{#N/A,#N/A,FALSE,"I&amp;E";#N/A,#N/A,FALSE,"rent roll";#N/A,#N/A,FALSE,"96noleaseup";#N/A,#N/A,FALSE,"96noleaseup matrix";#N/A,#N/A,FALSE,"leaseup 96";#N/A,#N/A,FALSE,"leaseup 96 matrix";#N/A,#N/A,FALSE,"Leaseup and Exp."}</definedName>
    <definedName name="tryety_1" hidden="1">{#N/A,#N/A,FALSE,"I&amp;E";#N/A,#N/A,FALSE,"rent roll";#N/A,#N/A,FALSE,"96noleaseup";#N/A,#N/A,FALSE,"96noleaseup matrix";#N/A,#N/A,FALSE,"leaseup 96";#N/A,#N/A,FALSE,"leaseup 96 matrix";#N/A,#N/A,FALSE,"Leaseup and Exp."}</definedName>
    <definedName name="tthdsth" hidden="1">{"Summary",#N/A,TRUE,"Fin. Summary";"Payroll",#N/A,TRUE,"Staffing";"Personnel Phasing",#N/A,TRUE,"Staffing"}</definedName>
    <definedName name="tthdsth_1" hidden="1">{"Summary",#N/A,TRUE,"Fin. Summary";"Payroll",#N/A,TRUE,"Staffing";"Personnel Phasing",#N/A,TRUE,"Staffing"}</definedName>
    <definedName name="turut" hidden="1">{#N/A,#N/A,FALSE,"I&amp;E";#N/A,#N/A,FALSE,"rent roll";#N/A,#N/A,FALSE,"96noleaseup";#N/A,#N/A,FALSE,"96noleaseup matrix";#N/A,#N/A,FALSE,"leaseup 96";#N/A,#N/A,FALSE,"leaseup 96 matrix";#N/A,#N/A,FALSE,"Leaseup and Exp."}</definedName>
    <definedName name="turut_1" hidden="1">{#N/A,#N/A,FALSE,"I&amp;E";#N/A,#N/A,FALSE,"rent roll";#N/A,#N/A,FALSE,"96noleaseup";#N/A,#N/A,FALSE,"96noleaseup matrix";#N/A,#N/A,FALSE,"leaseup 96";#N/A,#N/A,FALSE,"leaseup 96 matrix";#N/A,#N/A,FALSE,"Leaseup and Exp."}</definedName>
    <definedName name="twet" hidden="1">{#N/A,#N/A,FALSE,"I&amp;E";#N/A,#N/A,FALSE,"rent roll";#N/A,#N/A,FALSE,"96noleaseup";#N/A,#N/A,FALSE,"96noleaseup matrix";#N/A,#N/A,FALSE,"leaseup 96";#N/A,#N/A,FALSE,"leaseup 96 matrix";#N/A,#N/A,FALSE,"Leaseup and Exp."}</definedName>
    <definedName name="twet_1" hidden="1">{#N/A,#N/A,FALSE,"I&amp;E";#N/A,#N/A,FALSE,"rent roll";#N/A,#N/A,FALSE,"96noleaseup";#N/A,#N/A,FALSE,"96noleaseup matrix";#N/A,#N/A,FALSE,"leaseup 96";#N/A,#N/A,FALSE,"leaseup 96 matrix";#N/A,#N/A,FALSE,"Leaseup and Exp."}</definedName>
    <definedName name="twnert" hidden="1">{#N/A,#N/A,FALSE,"I&amp;E";#N/A,#N/A,FALSE,"rent roll";#N/A,#N/A,FALSE,"96noleaseup";#N/A,#N/A,FALSE,"96noleaseup matrix";#N/A,#N/A,FALSE,"leaseup 96";#N/A,#N/A,FALSE,"leaseup 96 matrix";#N/A,#N/A,FALSE,"Leaseup and Exp."}</definedName>
    <definedName name="twnert_1" hidden="1">{#N/A,#N/A,FALSE,"I&amp;E";#N/A,#N/A,FALSE,"rent roll";#N/A,#N/A,FALSE,"96noleaseup";#N/A,#N/A,FALSE,"96noleaseup matrix";#N/A,#N/A,FALSE,"leaseup 96";#N/A,#N/A,FALSE,"leaseup 96 matrix";#N/A,#N/A,FALSE,"Leaseup and Exp."}</definedName>
    <definedName name="twtre" hidden="1">{"Summary",#N/A,TRUE,"Fin. Summary";"Payroll",#N/A,TRUE,"Staffing";"Personnel Phasing",#N/A,TRUE,"Staffing"}</definedName>
    <definedName name="twtre_1" hidden="1">{"Summary",#N/A,TRUE,"Fin. Summary";"Payroll",#N/A,TRUE,"Staffing";"Personnel Phasing",#N/A,TRUE,"Staffing"}</definedName>
    <definedName name="tyry" hidden="1">{#N/A,#N/A,FALSE,"I&amp;E";#N/A,#N/A,FALSE,"rent roll";#N/A,#N/A,FALSE,"96noleaseup";#N/A,#N/A,FALSE,"96noleaseup matrix";#N/A,#N/A,FALSE,"leaseup 96";#N/A,#N/A,FALSE,"leaseup 96 matrix";#N/A,#N/A,FALSE,"Leaseup and Exp."}</definedName>
    <definedName name="tyry_1" hidden="1">{#N/A,#N/A,FALSE,"I&amp;E";#N/A,#N/A,FALSE,"rent roll";#N/A,#N/A,FALSE,"96noleaseup";#N/A,#N/A,FALSE,"96noleaseup matrix";#N/A,#N/A,FALSE,"leaseup 96";#N/A,#N/A,FALSE,"leaseup 96 matrix";#N/A,#N/A,FALSE,"Leaseup and Exp."}</definedName>
    <definedName name="tyryu" hidden="1">{#N/A,#N/A,FALSE,"I&amp;E";#N/A,#N/A,FALSE,"rent roll";#N/A,#N/A,FALSE,"96noleaseup";#N/A,#N/A,FALSE,"96noleaseup matrix";#N/A,#N/A,FALSE,"leaseup 96";#N/A,#N/A,FALSE,"leaseup 96 matrix";#N/A,#N/A,FALSE,"Leaseup and Exp."}</definedName>
    <definedName name="tyryu_1" hidden="1">{#N/A,#N/A,FALSE,"I&amp;E";#N/A,#N/A,FALSE,"rent roll";#N/A,#N/A,FALSE,"96noleaseup";#N/A,#N/A,FALSE,"96noleaseup matrix";#N/A,#N/A,FALSE,"leaseup 96";#N/A,#N/A,FALSE,"leaseup 96 matrix";#N/A,#N/A,FALSE,"Leaseup and Exp."}</definedName>
    <definedName name="tyuit" hidden="1">{#N/A,#N/A,FALSE,"I&amp;E";#N/A,#N/A,FALSE,"rent roll";#N/A,#N/A,FALSE,"96noleaseup";#N/A,#N/A,FALSE,"96noleaseup matrix";#N/A,#N/A,FALSE,"leaseup 96";#N/A,#N/A,FALSE,"leaseup 96 matrix";#N/A,#N/A,FALSE,"Leaseup and Exp."}</definedName>
    <definedName name="tyuit_1" hidden="1">{#N/A,#N/A,FALSE,"I&amp;E";#N/A,#N/A,FALSE,"rent roll";#N/A,#N/A,FALSE,"96noleaseup";#N/A,#N/A,FALSE,"96noleaseup matrix";#N/A,#N/A,FALSE,"leaseup 96";#N/A,#N/A,FALSE,"leaseup 96 matrix";#N/A,#N/A,FALSE,"Leaseup and Exp."}</definedName>
    <definedName name="tyutyut" hidden="1">{#N/A,#N/A,FALSE,"I&amp;E";#N/A,#N/A,FALSE,"rent roll";#N/A,#N/A,FALSE,"96noleaseup";#N/A,#N/A,FALSE,"96noleaseup matrix";#N/A,#N/A,FALSE,"leaseup 96";#N/A,#N/A,FALSE,"leaseup 96 matrix";#N/A,#N/A,FALSE,"Leaseup and Exp."}</definedName>
    <definedName name="tyutyut_1" hidden="1">{#N/A,#N/A,FALSE,"I&amp;E";#N/A,#N/A,FALSE,"rent roll";#N/A,#N/A,FALSE,"96noleaseup";#N/A,#N/A,FALSE,"96noleaseup matrix";#N/A,#N/A,FALSE,"leaseup 96";#N/A,#N/A,FALSE,"leaseup 96 matrix";#N/A,#N/A,FALSE,"Leaseup and Exp."}</definedName>
    <definedName name="u6etu6565" hidden="1">{#N/A,#N/A,TRUE,"Summary";#N/A,#N/A,TRUE,"Large Rev";#N/A,#N/A,TRUE,"Mid Rev";#N/A,#N/A,TRUE,"Small Rev";#N/A,#N/A,TRUE,"Stud Rev";#N/A,#N/A,TRUE,"Salaries";#N/A,#N/A,TRUE,"Adm &amp; Fin"}</definedName>
    <definedName name="u6etu6565_1" hidden="1">{#N/A,#N/A,TRUE,"Summary";#N/A,#N/A,TRUE,"Large Rev";#N/A,#N/A,TRUE,"Mid Rev";#N/A,#N/A,TRUE,"Small Rev";#N/A,#N/A,TRUE,"Stud Rev";#N/A,#N/A,TRUE,"Salaries";#N/A,#N/A,TRUE,"Adm &amp; Fin"}</definedName>
    <definedName name="ueruu" hidden="1">{#N/A,#N/A,FALSE,"I&amp;E";#N/A,#N/A,FALSE,"rent roll";#N/A,#N/A,FALSE,"96noleaseup";#N/A,#N/A,FALSE,"96noleaseup matrix";#N/A,#N/A,FALSE,"leaseup 96";#N/A,#N/A,FALSE,"leaseup 96 matrix";#N/A,#N/A,FALSE,"Leaseup and Exp."}</definedName>
    <definedName name="ueruu_1" hidden="1">{#N/A,#N/A,FALSE,"I&amp;E";#N/A,#N/A,FALSE,"rent roll";#N/A,#N/A,FALSE,"96noleaseup";#N/A,#N/A,FALSE,"96noleaseup matrix";#N/A,#N/A,FALSE,"leaseup 96";#N/A,#N/A,FALSE,"leaseup 96 matrix";#N/A,#N/A,FALSE,"Leaseup and Exp."}</definedName>
    <definedName name="uetee" hidden="1">{#N/A,#N/A,FALSE,"I&amp;E";#N/A,#N/A,FALSE,"rent roll";#N/A,#N/A,FALSE,"96noleaseup";#N/A,#N/A,FALSE,"96noleaseup matrix";#N/A,#N/A,FALSE,"leaseup 96";#N/A,#N/A,FALSE,"leaseup 96 matrix";#N/A,#N/A,FALSE,"Leaseup and Exp."}</definedName>
    <definedName name="uetee_1" hidden="1">{#N/A,#N/A,FALSE,"I&amp;E";#N/A,#N/A,FALSE,"rent roll";#N/A,#N/A,FALSE,"96noleaseup";#N/A,#N/A,FALSE,"96noleaseup matrix";#N/A,#N/A,FALSE,"leaseup 96";#N/A,#N/A,FALSE,"leaseup 96 matrix";#N/A,#N/A,FALSE,"Leaseup and Exp."}</definedName>
    <definedName name="uftu" hidden="1">{#N/A,#N/A,FALSE,"I&amp;E";#N/A,#N/A,FALSE,"rent roll";#N/A,#N/A,FALSE,"96noleaseup";#N/A,#N/A,FALSE,"96noleaseup matrix";#N/A,#N/A,FALSE,"leaseup 96";#N/A,#N/A,FALSE,"leaseup 96 matrix";#N/A,#N/A,FALSE,"Leaseup and Exp."}</definedName>
    <definedName name="uftu_1" hidden="1">{#N/A,#N/A,FALSE,"I&amp;E";#N/A,#N/A,FALSE,"rent roll";#N/A,#N/A,FALSE,"96noleaseup";#N/A,#N/A,FALSE,"96noleaseup matrix";#N/A,#N/A,FALSE,"leaseup 96";#N/A,#N/A,FALSE,"leaseup 96 matrix";#N/A,#N/A,FALSE,"Leaseup and Exp."}</definedName>
    <definedName name="uioyu" hidden="1">{#N/A,#N/A,FALSE,"I&amp;E";#N/A,#N/A,FALSE,"rent roll";#N/A,#N/A,FALSE,"96noleaseup";#N/A,#N/A,FALSE,"96noleaseup matrix";#N/A,#N/A,FALSE,"leaseup 96";#N/A,#N/A,FALSE,"leaseup 96 matrix";#N/A,#N/A,FALSE,"Leaseup and Exp."}</definedName>
    <definedName name="uioyu_1" hidden="1">{#N/A,#N/A,FALSE,"I&amp;E";#N/A,#N/A,FALSE,"rent roll";#N/A,#N/A,FALSE,"96noleaseup";#N/A,#N/A,FALSE,"96noleaseup matrix";#N/A,#N/A,FALSE,"leaseup 96";#N/A,#N/A,FALSE,"leaseup 96 matrix";#N/A,#N/A,FALSE,"Leaseup and Exp."}</definedName>
    <definedName name="uiyi" hidden="1">{#N/A,#N/A,TRUE,"Summary";#N/A,#N/A,TRUE,"Large Rev";#N/A,#N/A,TRUE,"Mid Rev";#N/A,#N/A,TRUE,"Small Rev";#N/A,#N/A,TRUE,"Stud Rev";#N/A,#N/A,TRUE,"Salaries";#N/A,#N/A,TRUE,"Adm &amp; Fin"}</definedName>
    <definedName name="uiyi_1" hidden="1">{#N/A,#N/A,TRUE,"Summary";#N/A,#N/A,TRUE,"Large Rev";#N/A,#N/A,TRUE,"Mid Rev";#N/A,#N/A,TRUE,"Small Rev";#N/A,#N/A,TRUE,"Stud Rev";#N/A,#N/A,TRUE,"Salaries";#N/A,#N/A,TRUE,"Adm &amp; Fin"}</definedName>
    <definedName name="uj6yertdrg" hidden="1">{#N/A,#N/A,FALSE,"I&amp;E";#N/A,#N/A,FALSE,"rent roll";#N/A,#N/A,FALSE,"96noleaseup";#N/A,#N/A,FALSE,"96noleaseup matrix";#N/A,#N/A,FALSE,"leaseup 96";#N/A,#N/A,FALSE,"leaseup 96 matrix";#N/A,#N/A,FALSE,"Leaseup and Exp."}</definedName>
    <definedName name="uj6yertdrg_1" hidden="1">{#N/A,#N/A,FALSE,"I&amp;E";#N/A,#N/A,FALSE,"rent roll";#N/A,#N/A,FALSE,"96noleaseup";#N/A,#N/A,FALSE,"96noleaseup matrix";#N/A,#N/A,FALSE,"leaseup 96";#N/A,#N/A,FALSE,"leaseup 96 matrix";#N/A,#N/A,FALSE,"Leaseup and Exp."}</definedName>
    <definedName name="ujrtygeetterg" hidden="1">{#N/A,#N/A,FALSE,"I&amp;E";#N/A,#N/A,FALSE,"rent roll";#N/A,#N/A,FALSE,"96noleaseup";#N/A,#N/A,FALSE,"96noleaseup matrix";#N/A,#N/A,FALSE,"leaseup 96";#N/A,#N/A,FALSE,"leaseup 96 matrix";#N/A,#N/A,FALSE,"Leaseup and Exp."}</definedName>
    <definedName name="ujrtygeetterg_1" hidden="1">{#N/A,#N/A,FALSE,"I&amp;E";#N/A,#N/A,FALSE,"rent roll";#N/A,#N/A,FALSE,"96noleaseup";#N/A,#N/A,FALSE,"96noleaseup matrix";#N/A,#N/A,FALSE,"leaseup 96";#N/A,#N/A,FALSE,"leaseup 96 matrix";#N/A,#N/A,FALSE,"Leaseup and Exp."}</definedName>
    <definedName name="ujyretertwert" hidden="1">{#N/A,#N/A,FALSE,"I&amp;E";#N/A,#N/A,FALSE,"rent roll";#N/A,#N/A,FALSE,"96noleaseup";#N/A,#N/A,FALSE,"96noleaseup matrix";#N/A,#N/A,FALSE,"leaseup 96";#N/A,#N/A,FALSE,"leaseup 96 matrix";#N/A,#N/A,FALSE,"Leaseup and Exp."}</definedName>
    <definedName name="ujyretertwert_1" hidden="1">{#N/A,#N/A,FALSE,"I&amp;E";#N/A,#N/A,FALSE,"rent roll";#N/A,#N/A,FALSE,"96noleaseup";#N/A,#N/A,FALSE,"96noleaseup matrix";#N/A,#N/A,FALSE,"leaseup 96";#N/A,#N/A,FALSE,"leaseup 96 matrix";#N/A,#N/A,FALSE,"Leaseup and Exp."}</definedName>
    <definedName name="ukty" hidden="1">{#N/A,#N/A,FALSE,"I&amp;E";#N/A,#N/A,FALSE,"rent roll";#N/A,#N/A,FALSE,"96noleaseup";#N/A,#N/A,FALSE,"96noleaseup matrix";#N/A,#N/A,FALSE,"leaseup 96";#N/A,#N/A,FALSE,"leaseup 96 matrix";#N/A,#N/A,FALSE,"Leaseup and Exp."}</definedName>
    <definedName name="ukty_1" hidden="1">{#N/A,#N/A,FALSE,"I&amp;E";#N/A,#N/A,FALSE,"rent roll";#N/A,#N/A,FALSE,"96noleaseup";#N/A,#N/A,FALSE,"96noleaseup matrix";#N/A,#N/A,FALSE,"leaseup 96";#N/A,#N/A,FALSE,"leaseup 96 matrix";#N/A,#N/A,FALSE,"Leaseup and Exp."}</definedName>
    <definedName name="ureer" hidden="1">{#N/A,#N/A,FALSE,"I&amp;E";#N/A,#N/A,FALSE,"rent roll";#N/A,#N/A,FALSE,"96noleaseup";#N/A,#N/A,FALSE,"96noleaseup matrix";#N/A,#N/A,FALSE,"leaseup 96";#N/A,#N/A,FALSE,"leaseup 96 matrix";#N/A,#N/A,FALSE,"Leaseup and Exp."}</definedName>
    <definedName name="ureer_1" hidden="1">{#N/A,#N/A,FALSE,"I&amp;E";#N/A,#N/A,FALSE,"rent roll";#N/A,#N/A,FALSE,"96noleaseup";#N/A,#N/A,FALSE,"96noleaseup matrix";#N/A,#N/A,FALSE,"leaseup 96";#N/A,#N/A,FALSE,"leaseup 96 matrix";#N/A,#N/A,FALSE,"Leaseup and Exp."}</definedName>
    <definedName name="urerte" hidden="1">{#N/A,#N/A,FALSE,"I&amp;E";#N/A,#N/A,FALSE,"rent roll";#N/A,#N/A,FALSE,"96noleaseup";#N/A,#N/A,FALSE,"96noleaseup matrix";#N/A,#N/A,FALSE,"leaseup 96";#N/A,#N/A,FALSE,"leaseup 96 matrix";#N/A,#N/A,FALSE,"Leaseup and Exp."}</definedName>
    <definedName name="urerte_1" hidden="1">{#N/A,#N/A,FALSE,"I&amp;E";#N/A,#N/A,FALSE,"rent roll";#N/A,#N/A,FALSE,"96noleaseup";#N/A,#N/A,FALSE,"96noleaseup matrix";#N/A,#N/A,FALSE,"leaseup 96";#N/A,#N/A,FALSE,"leaseup 96 matrix";#N/A,#N/A,FALSE,"Leaseup and Exp."}</definedName>
    <definedName name="urkjytur" hidden="1">{#N/A,#N/A,FALSE,"I&amp;E";#N/A,#N/A,FALSE,"rent roll";#N/A,#N/A,FALSE,"96noleaseup";#N/A,#N/A,FALSE,"96noleaseup matrix";#N/A,#N/A,FALSE,"leaseup 96";#N/A,#N/A,FALSE,"leaseup 96 matrix";#N/A,#N/A,FALSE,"Leaseup and Exp."}</definedName>
    <definedName name="urkjytur_1" hidden="1">{#N/A,#N/A,FALSE,"I&amp;E";#N/A,#N/A,FALSE,"rent roll";#N/A,#N/A,FALSE,"96noleaseup";#N/A,#N/A,FALSE,"96noleaseup matrix";#N/A,#N/A,FALSE,"leaseup 96";#N/A,#N/A,FALSE,"leaseup 96 matrix";#N/A,#N/A,FALSE,"Leaseup and Exp."}</definedName>
    <definedName name="urtu" hidden="1">{#N/A,#N/A,FALSE,"I&amp;E";#N/A,#N/A,FALSE,"rent roll";#N/A,#N/A,FALSE,"96noleaseup";#N/A,#N/A,FALSE,"96noleaseup matrix";#N/A,#N/A,FALSE,"leaseup 96";#N/A,#N/A,FALSE,"leaseup 96 matrix";#N/A,#N/A,FALSE,"Leaseup and Exp."}</definedName>
    <definedName name="urtu_1" hidden="1">{#N/A,#N/A,FALSE,"I&amp;E";#N/A,#N/A,FALSE,"rent roll";#N/A,#N/A,FALSE,"96noleaseup";#N/A,#N/A,FALSE,"96noleaseup matrix";#N/A,#N/A,FALSE,"leaseup 96";#N/A,#N/A,FALSE,"leaseup 96 matrix";#N/A,#N/A,FALSE,"Leaseup and Exp."}</definedName>
    <definedName name="urtuyr" hidden="1">{#N/A,#N/A,FALSE,"I&amp;E";#N/A,#N/A,FALSE,"rent roll";#N/A,#N/A,FALSE,"96noleaseup";#N/A,#N/A,FALSE,"96noleaseup matrix";#N/A,#N/A,FALSE,"leaseup 96";#N/A,#N/A,FALSE,"leaseup 96 matrix";#N/A,#N/A,FALSE,"Leaseup and Exp."}</definedName>
    <definedName name="urtuyr_1" hidden="1">{#N/A,#N/A,FALSE,"I&amp;E";#N/A,#N/A,FALSE,"rent roll";#N/A,#N/A,FALSE,"96noleaseup";#N/A,#N/A,FALSE,"96noleaseup matrix";#N/A,#N/A,FALSE,"leaseup 96";#N/A,#N/A,FALSE,"leaseup 96 matrix";#N/A,#N/A,FALSE,"Leaseup and Exp."}</definedName>
    <definedName name="urytj" hidden="1">{#N/A,#N/A,FALSE,"I&amp;E";#N/A,#N/A,FALSE,"rent roll";#N/A,#N/A,FALSE,"96noleaseup";#N/A,#N/A,FALSE,"96noleaseup matrix";#N/A,#N/A,FALSE,"leaseup 96";#N/A,#N/A,FALSE,"leaseup 96 matrix";#N/A,#N/A,FALSE,"Leaseup and Exp."}</definedName>
    <definedName name="urytj_1" hidden="1">{#N/A,#N/A,FALSE,"I&amp;E";#N/A,#N/A,FALSE,"rent roll";#N/A,#N/A,FALSE,"96noleaseup";#N/A,#N/A,FALSE,"96noleaseup matrix";#N/A,#N/A,FALSE,"leaseup 96";#N/A,#N/A,FALSE,"leaseup 96 matrix";#N/A,#N/A,FALSE,"Leaseup and Exp."}</definedName>
    <definedName name="utrmut" hidden="1">{#N/A,#N/A,FALSE,"I&amp;E";#N/A,#N/A,FALSE,"rent roll";#N/A,#N/A,FALSE,"96noleaseup";#N/A,#N/A,FALSE,"96noleaseup matrix";#N/A,#N/A,FALSE,"leaseup 96";#N/A,#N/A,FALSE,"leaseup 96 matrix";#N/A,#N/A,FALSE,"Leaseup and Exp."}</definedName>
    <definedName name="utrmut_1" hidden="1">{#N/A,#N/A,FALSE,"I&amp;E";#N/A,#N/A,FALSE,"rent roll";#N/A,#N/A,FALSE,"96noleaseup";#N/A,#N/A,FALSE,"96noleaseup matrix";#N/A,#N/A,FALSE,"leaseup 96";#N/A,#N/A,FALSE,"leaseup 96 matrix";#N/A,#N/A,FALSE,"Leaseup and Exp."}</definedName>
    <definedName name="utrur" hidden="1">{#N/A,#N/A,FALSE,"I&amp;E";#N/A,#N/A,FALSE,"rent roll";#N/A,#N/A,FALSE,"96noleaseup";#N/A,#N/A,FALSE,"96noleaseup matrix";#N/A,#N/A,FALSE,"leaseup 96";#N/A,#N/A,FALSE,"leaseup 96 matrix";#N/A,#N/A,FALSE,"Leaseup and Exp."}</definedName>
    <definedName name="utrur_1" hidden="1">{#N/A,#N/A,FALSE,"I&amp;E";#N/A,#N/A,FALSE,"rent roll";#N/A,#N/A,FALSE,"96noleaseup";#N/A,#N/A,FALSE,"96noleaseup matrix";#N/A,#N/A,FALSE,"leaseup 96";#N/A,#N/A,FALSE,"leaseup 96 matrix";#N/A,#N/A,FALSE,"Leaseup and Exp."}</definedName>
    <definedName name="uururr" hidden="1">{#N/A,#N/A,TRUE,"Summary";#N/A,#N/A,TRUE,"Large Rev";#N/A,#N/A,TRUE,"Mid Rev";#N/A,#N/A,TRUE,"Small Rev";#N/A,#N/A,TRUE,"Stud Rev";#N/A,#N/A,TRUE,"Salaries";#N/A,#N/A,TRUE,"Adm &amp; Fin"}</definedName>
    <definedName name="uururr_1" hidden="1">{#N/A,#N/A,TRUE,"Summary";#N/A,#N/A,TRUE,"Large Rev";#N/A,#N/A,TRUE,"Mid Rev";#N/A,#N/A,TRUE,"Small Rev";#N/A,#N/A,TRUE,"Stud Rev";#N/A,#N/A,TRUE,"Salaries";#N/A,#N/A,TRUE,"Adm &amp; Fin"}</definedName>
    <definedName name="uwertnw" hidden="1">{#N/A,#N/A,TRUE,"Summary";#N/A,#N/A,TRUE,"Large Rev";#N/A,#N/A,TRUE,"Mid Rev";#N/A,#N/A,TRUE,"Small Rev";#N/A,#N/A,TRUE,"Stud Rev";#N/A,#N/A,TRUE,"Salaries";#N/A,#N/A,TRUE,"Adm &amp; Fin"}</definedName>
    <definedName name="uwertnw_1" hidden="1">{#N/A,#N/A,TRUE,"Summary";#N/A,#N/A,TRUE,"Large Rev";#N/A,#N/A,TRUE,"Mid Rev";#N/A,#N/A,TRUE,"Small Rev";#N/A,#N/A,TRUE,"Stud Rev";#N/A,#N/A,TRUE,"Salaries";#N/A,#N/A,TRUE,"Adm &amp; Fin"}</definedName>
    <definedName name="uyit" hidden="1">{#N/A,#N/A,FALSE,"I&amp;E";#N/A,#N/A,FALSE,"rent roll";#N/A,#N/A,FALSE,"96noleaseup";#N/A,#N/A,FALSE,"96noleaseup matrix";#N/A,#N/A,FALSE,"leaseup 96";#N/A,#N/A,FALSE,"leaseup 96 matrix";#N/A,#N/A,FALSE,"Leaseup and Exp."}</definedName>
    <definedName name="uyit_1" hidden="1">{#N/A,#N/A,FALSE,"I&amp;E";#N/A,#N/A,FALSE,"rent roll";#N/A,#N/A,FALSE,"96noleaseup";#N/A,#N/A,FALSE,"96noleaseup matrix";#N/A,#N/A,FALSE,"leaseup 96";#N/A,#N/A,FALSE,"leaseup 96 matrix";#N/A,#N/A,FALSE,"Leaseup and Exp."}</definedName>
    <definedName name="uyrtyu" hidden="1">{#N/A,#N/A,TRUE,"Summary";#N/A,#N/A,TRUE,"Large Rev";#N/A,#N/A,TRUE,"Mid Rev";#N/A,#N/A,TRUE,"Small Rev";#N/A,#N/A,TRUE,"Stud Rev";#N/A,#N/A,TRUE,"Salaries";#N/A,#N/A,TRUE,"Adm &amp; Fin"}</definedName>
    <definedName name="uyrtyu_1" hidden="1">{#N/A,#N/A,TRUE,"Summary";#N/A,#N/A,TRUE,"Large Rev";#N/A,#N/A,TRUE,"Mid Rev";#N/A,#N/A,TRUE,"Small Rev";#N/A,#N/A,TRUE,"Stud Rev";#N/A,#N/A,TRUE,"Salaries";#N/A,#N/A,TRUE,"Adm &amp; Fin"}</definedName>
    <definedName name="uytuytut" hidden="1">{#N/A,#N/A,FALSE,"I&amp;E";#N/A,#N/A,FALSE,"rent roll";#N/A,#N/A,FALSE,"96noleaseup";#N/A,#N/A,FALSE,"96noleaseup matrix";#N/A,#N/A,FALSE,"leaseup 96";#N/A,#N/A,FALSE,"leaseup 96 matrix";#N/A,#N/A,FALSE,"Leaseup and Exp."}</definedName>
    <definedName name="uytuytut_1" hidden="1">{#N/A,#N/A,FALSE,"I&amp;E";#N/A,#N/A,FALSE,"rent roll";#N/A,#N/A,FALSE,"96noleaseup";#N/A,#N/A,FALSE,"96noleaseup matrix";#N/A,#N/A,FALSE,"leaseup 96";#N/A,#N/A,FALSE,"leaseup 96 matrix";#N/A,#N/A,FALSE,"Leaseup and Exp."}</definedName>
    <definedName name="w56w" hidden="1">{#N/A,#N/A,FALSE,"I&amp;E";#N/A,#N/A,FALSE,"rent roll";#N/A,#N/A,FALSE,"96noleaseup";#N/A,#N/A,FALSE,"96noleaseup matrix";#N/A,#N/A,FALSE,"leaseup 96";#N/A,#N/A,FALSE,"leaseup 96 matrix";#N/A,#N/A,FALSE,"Leaseup and Exp."}</definedName>
    <definedName name="w56w_1" hidden="1">{#N/A,#N/A,FALSE,"I&amp;E";#N/A,#N/A,FALSE,"rent roll";#N/A,#N/A,FALSE,"96noleaseup";#N/A,#N/A,FALSE,"96noleaseup matrix";#N/A,#N/A,FALSE,"leaseup 96";#N/A,#N/A,FALSE,"leaseup 96 matrix";#N/A,#N/A,FALSE,"Leaseup and Exp."}</definedName>
    <definedName name="wertn" hidden="1">{#N/A,#N/A,FALSE,"I&amp;E";#N/A,#N/A,FALSE,"rent roll";#N/A,#N/A,FALSE,"96noleaseup";#N/A,#N/A,FALSE,"96noleaseup matrix";#N/A,#N/A,FALSE,"leaseup 96";#N/A,#N/A,FALSE,"leaseup 96 matrix";#N/A,#N/A,FALSE,"Leaseup and Exp."}</definedName>
    <definedName name="wertn_1" hidden="1">{#N/A,#N/A,FALSE,"I&amp;E";#N/A,#N/A,FALSE,"rent roll";#N/A,#N/A,FALSE,"96noleaseup";#N/A,#N/A,FALSE,"96noleaseup matrix";#N/A,#N/A,FALSE,"leaseup 96";#N/A,#N/A,FALSE,"leaseup 96 matrix";#N/A,#N/A,FALSE,"Leaseup and Exp."}</definedName>
    <definedName name="wertwert" hidden="1">{#N/A,#N/A,FALSE,"I&amp;E";#N/A,#N/A,FALSE,"rent roll";#N/A,#N/A,FALSE,"96noleaseup";#N/A,#N/A,FALSE,"96noleaseup matrix";#N/A,#N/A,FALSE,"leaseup 96";#N/A,#N/A,FALSE,"leaseup 96 matrix";#N/A,#N/A,FALSE,"Leaseup and Exp."}</definedName>
    <definedName name="wertwert_1" hidden="1">{#N/A,#N/A,FALSE,"I&amp;E";#N/A,#N/A,FALSE,"rent roll";#N/A,#N/A,FALSE,"96noleaseup";#N/A,#N/A,FALSE,"96noleaseup matrix";#N/A,#N/A,FALSE,"leaseup 96";#N/A,#N/A,FALSE,"leaseup 96 matrix";#N/A,#N/A,FALSE,"Leaseup and Exp."}</definedName>
    <definedName name="wertwn" hidden="1">{#N/A,#N/A,FALSE,"I&amp;E";#N/A,#N/A,FALSE,"rent roll";#N/A,#N/A,FALSE,"96noleaseup";#N/A,#N/A,FALSE,"96noleaseup matrix";#N/A,#N/A,FALSE,"leaseup 96";#N/A,#N/A,FALSE,"leaseup 96 matrix";#N/A,#N/A,FALSE,"Leaseup and Exp."}</definedName>
    <definedName name="wertwn_1" hidden="1">{#N/A,#N/A,FALSE,"I&amp;E";#N/A,#N/A,FALSE,"rent roll";#N/A,#N/A,FALSE,"96noleaseup";#N/A,#N/A,FALSE,"96noleaseup matrix";#N/A,#N/A,FALSE,"leaseup 96";#N/A,#N/A,FALSE,"leaseup 96 matrix";#N/A,#N/A,FALSE,"Leaseup and Exp."}</definedName>
    <definedName name="wertww" hidden="1">{#N/A,#N/A,FALSE,"I&amp;E";#N/A,#N/A,FALSE,"rent roll";#N/A,#N/A,FALSE,"96noleaseup";#N/A,#N/A,FALSE,"96noleaseup matrix";#N/A,#N/A,FALSE,"leaseup 96";#N/A,#N/A,FALSE,"leaseup 96 matrix";#N/A,#N/A,FALSE,"Leaseup and Exp."}</definedName>
    <definedName name="wertww_1" hidden="1">{#N/A,#N/A,FALSE,"I&amp;E";#N/A,#N/A,FALSE,"rent roll";#N/A,#N/A,FALSE,"96noleaseup";#N/A,#N/A,FALSE,"96noleaseup matrix";#N/A,#N/A,FALSE,"leaseup 96";#N/A,#N/A,FALSE,"leaseup 96 matrix";#N/A,#N/A,FALSE,"Leaseup and Exp."}</definedName>
    <definedName name="werywy" hidden="1">{#N/A,#N/A,TRUE,"Summary";#N/A,#N/A,TRUE,"Large Rev";#N/A,#N/A,TRUE,"Mid Rev";#N/A,#N/A,TRUE,"Small Rev";#N/A,#N/A,TRUE,"Stud Rev";#N/A,#N/A,TRUE,"Salaries";#N/A,#N/A,TRUE,"Adm &amp; Fin"}</definedName>
    <definedName name="werywy_1" hidden="1">{#N/A,#N/A,TRUE,"Summary";#N/A,#N/A,TRUE,"Large Rev";#N/A,#N/A,TRUE,"Mid Rev";#N/A,#N/A,TRUE,"Small Rev";#N/A,#N/A,TRUE,"Stud Rev";#N/A,#N/A,TRUE,"Salaries";#N/A,#N/A,TRUE,"Adm &amp; Fin"}</definedName>
    <definedName name="wetwnt" hidden="1">{#N/A,#N/A,FALSE,"I&amp;E";#N/A,#N/A,FALSE,"rent roll";#N/A,#N/A,FALSE,"96noleaseup";#N/A,#N/A,FALSE,"96noleaseup matrix";#N/A,#N/A,FALSE,"leaseup 96";#N/A,#N/A,FALSE,"leaseup 96 matrix";#N/A,#N/A,FALSE,"Leaseup and Exp."}</definedName>
    <definedName name="wetwnt_1" hidden="1">{#N/A,#N/A,FALSE,"I&amp;E";#N/A,#N/A,FALSE,"rent roll";#N/A,#N/A,FALSE,"96noleaseup";#N/A,#N/A,FALSE,"96noleaseup matrix";#N/A,#N/A,FALSE,"leaseup 96";#N/A,#N/A,FALSE,"leaseup 96 matrix";#N/A,#N/A,FALSE,"Leaseup and Exp."}</definedName>
    <definedName name="wnertw" hidden="1">{#N/A,#N/A,FALSE,"I&amp;E";#N/A,#N/A,FALSE,"rent roll";#N/A,#N/A,FALSE,"96noleaseup";#N/A,#N/A,FALSE,"96noleaseup matrix";#N/A,#N/A,FALSE,"leaseup 96";#N/A,#N/A,FALSE,"leaseup 96 matrix";#N/A,#N/A,FALSE,"Leaseup and Exp."}</definedName>
    <definedName name="wnertw_1" hidden="1">{#N/A,#N/A,FALSE,"I&amp;E";#N/A,#N/A,FALSE,"rent roll";#N/A,#N/A,FALSE,"96noleaseup";#N/A,#N/A,FALSE,"96noleaseup matrix";#N/A,#N/A,FALSE,"leaseup 96";#N/A,#N/A,FALSE,"leaseup 96 matrix";#N/A,#N/A,FALSE,"Leaseup and Exp."}</definedName>
    <definedName name="wnetnrt" hidden="1">{#N/A,#N/A,FALSE,"I&amp;E";#N/A,#N/A,FALSE,"rent roll";#N/A,#N/A,FALSE,"96noleaseup";#N/A,#N/A,FALSE,"96noleaseup matrix";#N/A,#N/A,FALSE,"leaseup 96";#N/A,#N/A,FALSE,"leaseup 96 matrix";#N/A,#N/A,FALSE,"Leaseup and Exp."}</definedName>
    <definedName name="wnetnrt_1" hidden="1">{#N/A,#N/A,FALSE,"I&amp;E";#N/A,#N/A,FALSE,"rent roll";#N/A,#N/A,FALSE,"96noleaseup";#N/A,#N/A,FALSE,"96noleaseup matrix";#N/A,#N/A,FALSE,"leaseup 96";#N/A,#N/A,FALSE,"leaseup 96 matrix";#N/A,#N/A,FALSE,"Leaseup and Exp."}</definedName>
    <definedName name="wntew" hidden="1">{#N/A,#N/A,FALSE,"I&amp;E";#N/A,#N/A,FALSE,"rent roll";#N/A,#N/A,FALSE,"96noleaseup";#N/A,#N/A,FALSE,"96noleaseup matrix";#N/A,#N/A,FALSE,"leaseup 96";#N/A,#N/A,FALSE,"leaseup 96 matrix";#N/A,#N/A,FALSE,"Leaseup and Exp."}</definedName>
    <definedName name="wntew_1" hidden="1">{#N/A,#N/A,FALSE,"I&amp;E";#N/A,#N/A,FALSE,"rent roll";#N/A,#N/A,FALSE,"96noleaseup";#N/A,#N/A,FALSE,"96noleaseup matrix";#N/A,#N/A,FALSE,"leaseup 96";#N/A,#N/A,FALSE,"leaseup 96 matrix";#N/A,#N/A,FALSE,"Leaseup and Exp."}</definedName>
    <definedName name="wretwe" hidden="1">{#N/A,#N/A,FALSE,"I&amp;E";#N/A,#N/A,FALSE,"rent roll";#N/A,#N/A,FALSE,"96noleaseup";#N/A,#N/A,FALSE,"96noleaseup matrix";#N/A,#N/A,FALSE,"leaseup 96";#N/A,#N/A,FALSE,"leaseup 96 matrix";#N/A,#N/A,FALSE,"Leaseup and Exp."}</definedName>
    <definedName name="wretwe_1" hidden="1">{#N/A,#N/A,FALSE,"I&amp;E";#N/A,#N/A,FALSE,"rent roll";#N/A,#N/A,FALSE,"96noleaseup";#N/A,#N/A,FALSE,"96noleaseup matrix";#N/A,#N/A,FALSE,"leaseup 96";#N/A,#N/A,FALSE,"leaseup 96 matrix";#N/A,#N/A,FALSE,"Leaseup and Exp."}</definedName>
    <definedName name="wreuwrthjwreht" hidden="1">{#N/A,#N/A,FALSE,"I&amp;E";#N/A,#N/A,FALSE,"rent roll";#N/A,#N/A,FALSE,"96noleaseup";#N/A,#N/A,FALSE,"96noleaseup matrix";#N/A,#N/A,FALSE,"leaseup 96";#N/A,#N/A,FALSE,"leaseup 96 matrix";#N/A,#N/A,FALSE,"Leaseup and Exp."}</definedName>
    <definedName name="wreuwrthjwreht_1" hidden="1">{#N/A,#N/A,FALSE,"I&amp;E";#N/A,#N/A,FALSE,"rent roll";#N/A,#N/A,FALSE,"96noleaseup";#N/A,#N/A,FALSE,"96noleaseup matrix";#N/A,#N/A,FALSE,"leaseup 96";#N/A,#N/A,FALSE,"leaseup 96 matrix";#N/A,#N/A,FALSE,"Leaseup and Exp."}</definedName>
    <definedName name="wrn.3._.Year._.Model._.Investor." hidden="1">{#N/A,#N/A,FALSE,"Assumptions";"Investor Year 1",#N/A,FALSE,"Investor";"Investor Year 2",#N/A,FALSE,"Investor";"Investor Year 3",#N/A,FALSE,"Investor";"Investor 3 Year Total",#N/A,FALSE,"Investor"}</definedName>
    <definedName name="wrn.3._.Year._.Model._.Summary." hidden="1">{#N/A,#N/A,TRUE,"Assumptions";"Summary Year 1",#N/A,TRUE,"Summary";"Summary Year 2",#N/A,TRUE,"Summary";"Summary Year 3",#N/A,TRUE,"Summary";"Summary 3 Year Total",#N/A,TRUE,"Summary"}</definedName>
    <definedName name="wrn.4._.Year._.Model._.Investor." hidden="1">{#N/A,#N/A,FALSE,"Assumptions";"Investor Year 1",#N/A,FALSE,"Investor";"Investor Year 2",#N/A,FALSE,"Investor";"Investor Year 3",#N/A,FALSE,"Investor";"Investor Year 4",#N/A,FALSE,"Investor";"Investor 4 Year Total",#N/A,FALSE,"Investor"}</definedName>
    <definedName name="wrn.4._.Year._.Model._.Summary." hidden="1">{#N/A,#N/A,TRUE,"Assumptions";"Summary Year 1",#N/A,TRUE,"Summary";"Summary Year 2",#N/A,TRUE,"Summary";"Summary Year 3",#N/A,TRUE,"Summary";"Summary Year 4",#N/A,TRUE,"Summary";"Summary 4 Year Total",#N/A,TRUE,"Summary"}</definedName>
    <definedName name="wrn.5._.Year._.Model._.Investor." hidden="1">{#N/A,#N/A,FALSE,"Assumptions";"Investor Year 1",#N/A,FALSE,"Investor";"Investor Year 2",#N/A,FALSE,"Investor";"Investor Year 3",#N/A,FALSE,"Investor";"Investor Year 4",#N/A,FALSE,"Investor";"Investor Year 5",#N/A,FALSE,"Investor";"Investor 5 Year Total",#N/A,FALSE,"Investor"}</definedName>
    <definedName name="wrn.5._.Year._.Model._.Summary." hidden="1">{#N/A,#N/A,TRUE,"Assumptions";"Summary Year 1",#N/A,TRUE,"Summary";"Summary Year 2",#N/A,TRUE,"Summary";"Summary Year 3",#N/A,TRUE,"Summary";"Summary Year 4",#N/A,TRUE,"Summary";"Summary Year 5",#N/A,TRUE,"Summary";"Summary 5 Year Total",#N/A,TRUE,"Summary"}</definedName>
    <definedName name="wrn.AllProperties." hidden="1">{#N/A,#N/A,FALSE,"0Consolidated";#N/A,#N/A,FALSE,"1Airport A and B ";#N/A,#N/A,FALSE,"2CityWest ";#N/A,#N/A,FALSE,"3Normandale Tech A and B";#N/A,#N/A,FALSE,"4Plymouth Corporate";#N/A,#N/A,FALSE,"5Freeway1";#N/A,#N/A,FALSE,"6Freeway2";#N/A,#N/A,FALSE,"7Freeway3";#N/A,#N/A,FALSE,"8Freeway4";#N/A,#N/A,FALSE,"9Parking Lots"}</definedName>
    <definedName name="wrn.Assum.._.and._.Totals._.Inv.." hidden="1">{#N/A,#N/A,FALSE,"Assumptions";"Investor 5 Year Total",#N/A,FALSE,"Investor"}</definedName>
    <definedName name="wrn.Assum.._.and._.Totals._.Sum.." hidden="1">{#N/A,#N/A,TRUE,"Assumptions";"Summary 5 Year Total",#N/A,TRUE,"Summary"}</definedName>
    <definedName name="wrn.BASIC." hidden="1">{#N/A,#N/A,FALSE,"9Pricing Matrix";#N/A,#N/A,FALSE,"3Cash Flow";#N/A,#N/A,FALSE,"2Assumptions";#N/A,#N/A,FALSE,"5Residual"}</definedName>
    <definedName name="wrn.Development._.Cost." hidden="1">{#N/A,#N/A,FALSE,"Development Cost"}</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hidden="1">{#N/A,#N/A,FALSE,"1Summary";#N/A,#N/A,FALSE,"9Pricing Matrix";#N/A,#N/A,FALSE,"Assumptions";#N/A,#N/A,FALSE,"3Cash Flow";#N/A,#N/A,FALSE,"5Residual";#N/A,#N/A,FALSE,"8Residual Sensitivity";#N/A,#N/A,FALSE,"10Vacancy Matrix";#N/A,#N/A,FALSE,"11Expiration Schedule";#N/A,#N/A,FALSE,"12Lease-up Schedule"}</definedName>
    <definedName name="wrn.Full._.Report." hidden="1">{#N/A,#N/A,TRUE,"Title Page";#N/A,#N/A,TRUE,"Executive Summary";#N/A,#N/A,TRUE,"Tenant Summary";#N/A,#N/A,TRUE,"Assumptions";#N/A,#N/A,TRUE,"Capitalization Value ";#N/A,#N/A,TRUE,"Value Matrix ";#N/A,#N/A,TRUE,"Leasing Cost";#N/A,#N/A,TRUE,"Expiration Schedule";#N/A,#N/A,TRUE,"Market Rent Adjustment";#N/A,#N/A,TRUE,"Lease Value"}</definedName>
    <definedName name="wrn.Full._.Template."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Hold._.Sell." hidden="1">{#N/A,#N/A,FALSE,"13Residual 2007";#N/A,#N/A,FALSE,"14Residual 2008";#N/A,#N/A,FALSE,"15Residual 2009";#N/A,#N/A,FALSE,"16Residual 2010";#N/A,#N/A,FALSE,"17Residual 2011";#N/A,#N/A,FALSE,"18Hold Disposition Matrix";#N/A,#N/A,FALSE,"19Other Disposition Matrix"}</definedName>
    <definedName name="wrn.JEG." hidden="1">{#N/A,#N/A,FALSE,"1Summary";#N/A,#N/A,FALSE,"2Assumptions";#N/A,#N/A,FALSE,"I&amp;E";#N/A,#N/A,FALSE,"Tax Analysis";#N/A,#N/A,FALSE,"3Cash Flow";#N/A,#N/A,FALSE,"5Residual";#N/A,#N/A,FALSE,"8Residual Sensitivity";#N/A,#N/A,FALSE,"9Pricing Matrix";#N/A,#N/A,FALSE,"10Vacancy Matrix";#N/A,#N/A,FALSE,"11Expiration Schedule";#N/A,#N/A,FALSE,"12Lease-up Schedule"}</definedName>
    <definedName name="wrn.Marketing." hidden="1">{#N/A,#N/A,FALSE,"2Assumptions";#N/A,#N/A,FALSE,"3Cash Flow";#N/A,#N/A,FALSE,"I&amp;E";#N/A,#N/A,FALSE,"I&amp;E (2)";#N/A,#N/A,FALSE,"10Vacancy Matrix";#N/A,#N/A,FALSE,"11Expiration Schedule"}</definedName>
    <definedName name="wrn.Miami._.Proforma._.Rev._.2." hidden="1">{"Summary",#N/A,TRUE,"Fin. Summary";"Payroll",#N/A,TRUE,"Staffing";"Personnel Phasing",#N/A,TRUE,"Staffing"}</definedName>
    <definedName name="wrn.Miami._.Proforma._.Rev._.2._1" hidden="1">{"Summary",#N/A,TRUE,"Fin. Summary";"Payroll",#N/A,TRUE,"Staffing";"Personnel Phasing",#N/A,TRUE,"Staffing"}</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nt._.All." hidden="1">{#N/A,#N/A,FALSE,"I&amp;E";#N/A,#N/A,FALSE,"rent roll";#N/A,#N/A,FALSE,"96noleaseup";#N/A,#N/A,FALSE,"96noleaseup matrix";#N/A,#N/A,FALSE,"leaseup 96";#N/A,#N/A,FALSE,"leaseup 96 matrix";#N/A,#N/A,FALSE,"Leaseup and Exp."}</definedName>
    <definedName name="wrn.Print._.All._1" hidden="1">{#N/A,#N/A,FALSE,"I&amp;E";#N/A,#N/A,FALSE,"rent roll";#N/A,#N/A,FALSE,"96noleaseup";#N/A,#N/A,FALSE,"96noleaseup matrix";#N/A,#N/A,FALSE,"leaseup 96";#N/A,#N/A,FALSE,"leaseup 96 matrix";#N/A,#N/A,FALSE,"Leaseup and Exp."}</definedName>
    <definedName name="wrn.Print._All." hidden="1">{#N/A,#N/A,FALSE,"I&amp;E";#N/A,#N/A,FALSE,"rent roll";#N/A,#N/A,FALSE,"96noleaseup";#N/A,#N/A,FALSE,"96noleaseup matrix";#N/A,#N/A,FALSE,"leaseup 96";#N/A,#N/A,FALSE,"leaseup 96 matrix";#N/A,#N/A,FALSE,"Leaseup and Exp."}</definedName>
    <definedName name="wrn.Print._All._1" hidden="1">{#N/A,#N/A,FALSE,"I&amp;E";#N/A,#N/A,FALSE,"rent roll";#N/A,#N/A,FALSE,"96noleaseup";#N/A,#N/A,FALSE,"96noleaseup matrix";#N/A,#N/A,FALSE,"leaseup 96";#N/A,#N/A,FALSE,"leaseup 96 matrix";#N/A,#N/A,FALSE,"Leaseup and Exp."}</definedName>
    <definedName name="wrn.Print_All.2" hidden="1">{#N/A,#N/A,FALSE,"I&amp;E";#N/A,#N/A,FALSE,"rent roll";#N/A,#N/A,FALSE,"96noleaseup";#N/A,#N/A,FALSE,"96noleaseup matrix";#N/A,#N/A,FALSE,"leaseup 96";#N/A,#N/A,FALSE,"leaseup 96 matrix";#N/A,#N/A,FALSE,"Leaseup and Exp."}</definedName>
    <definedName name="wrn.Print_All.2_1" hidden="1">{#N/A,#N/A,FALSE,"I&amp;E";#N/A,#N/A,FALSE,"rent roll";#N/A,#N/A,FALSE,"96noleaseup";#N/A,#N/A,FALSE,"96noleaseup matrix";#N/A,#N/A,FALSE,"leaseup 96";#N/A,#N/A,FALSE,"leaseup 96 matrix";#N/A,#N/A,FALSE,"Leaseup and Exp."}</definedName>
    <definedName name="wrn.Print_all.3" hidden="1">{#N/A,#N/A,FALSE,"I&amp;E";#N/A,#N/A,FALSE,"rent roll";#N/A,#N/A,FALSE,"96noleaseup";#N/A,#N/A,FALSE,"96noleaseup matrix";#N/A,#N/A,FALSE,"leaseup 96";#N/A,#N/A,FALSE,"leaseup 96 matrix";#N/A,#N/A,FALSE,"Leaseup and Exp."}</definedName>
    <definedName name="wrn.Print_all.3_1" hidden="1">{#N/A,#N/A,FALSE,"I&amp;E";#N/A,#N/A,FALSE,"rent roll";#N/A,#N/A,FALSE,"96noleaseup";#N/A,#N/A,FALSE,"96noleaseup matrix";#N/A,#N/A,FALSE,"leaseup 96";#N/A,#N/A,FALSE,"leaseup 96 matrix";#N/A,#N/A,FALSE,"Leaseup and Exp."}</definedName>
    <definedName name="wrn.Pro._.Forma." hidden="1">{#N/A,#N/A,FALSE,"Assumptions";#N/A,#N/A,FALSE,"Proforma";#N/A,#N/A,FALSE,"Value Matrices";#N/A,#N/A,FALSE,"Graph &amp; Rent Roll"}</definedName>
    <definedName name="wrn.RentRoll." hidden="1">{"CurrentRentRoll",#N/A,FALSE,"Graph &amp; Rent Roll"}</definedName>
    <definedName name="wrn.Residuals." hidden="1">{#N/A,#N/A,FALSE,"5Residual 2007";#N/A,#N/A,FALSE,"5Residual 2008";#N/A,#N/A,FALSE,"5Residual 2009";#N/A,#N/A,FALSE,"5Residual 2010";#N/A,#N/A,FALSE,"5Residual 2011"}</definedName>
    <definedName name="wrn.Sacramento._.Operating._.Projections." hidden="1">{#N/A,#N/A,TRUE,"Summary";#N/A,#N/A,TRUE,"Large Rev";#N/A,#N/A,TRUE,"Mid Rev";#N/A,#N/A,TRUE,"Small Rev";#N/A,#N/A,TRUE,"Stud Rev";#N/A,#N/A,TRUE,"Salaries";#N/A,#N/A,TRUE,"Adm &amp; Fin"}</definedName>
    <definedName name="wrn.Sacramento._.Operating._.Projections._1" hidden="1">{#N/A,#N/A,TRUE,"Summary";#N/A,#N/A,TRUE,"Large Rev";#N/A,#N/A,TRUE,"Mid Rev";#N/A,#N/A,TRUE,"Small Rev";#N/A,#N/A,TRUE,"Stud Rev";#N/A,#N/A,TRUE,"Salaries";#N/A,#N/A,TRUE,"Adm &amp; Fin"}</definedName>
    <definedName name="wrn.Top._.REITS." hidden="1">{#N/A,#N/A,FALSE,"REIT ";#N/A,#N/A,FALSE,"Equity Office";#N/A,#N/A,FALSE,"Boston Properties";#N/A,#N/A,FALSE,"Crescent RE";#N/A,#N/A,FALSE,"HRPT";#N/A,#N/A,FALSE,"Vornado";#N/A,#N/A,FALSE,"Cornerstone"}</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WCC." hidden="1">{#N/A,#N/A,FALSE,"9Pricing Matrix";#N/A,#N/A,FALSE,"3Cash Flow";#N/A,#N/A,FALSE,"5Residual";#N/A,#N/A,FALSE,"8Residual Sensitivity";#N/A,#N/A,FALSE,"10Vacancy Matrix";#N/A,#N/A,FALSE,"11Expiration Schedule";#N/A,#N/A,FALSE,"12Lease-up Schedule";#N/A,#N/A,FALSE,"I&amp;E";#N/A,#N/A,FALSE,"Tax_Analysis"}</definedName>
    <definedName name="wrtenrtw" hidden="1">{#N/A,#N/A,FALSE,"I&amp;E";#N/A,#N/A,FALSE,"rent roll";#N/A,#N/A,FALSE,"96noleaseup";#N/A,#N/A,FALSE,"96noleaseup matrix";#N/A,#N/A,FALSE,"leaseup 96";#N/A,#N/A,FALSE,"leaseup 96 matrix";#N/A,#N/A,FALSE,"Leaseup and Exp."}</definedName>
    <definedName name="wrtenrtw_1" hidden="1">{#N/A,#N/A,FALSE,"I&amp;E";#N/A,#N/A,FALSE,"rent roll";#N/A,#N/A,FALSE,"96noleaseup";#N/A,#N/A,FALSE,"96noleaseup matrix";#N/A,#N/A,FALSE,"leaseup 96";#N/A,#N/A,FALSE,"leaseup 96 matrix";#N/A,#N/A,FALSE,"Leaseup and Exp."}</definedName>
    <definedName name="wtretw" hidden="1">{#N/A,#N/A,FALSE,"I&amp;E";#N/A,#N/A,FALSE,"rent roll";#N/A,#N/A,FALSE,"96noleaseup";#N/A,#N/A,FALSE,"96noleaseup matrix";#N/A,#N/A,FALSE,"leaseup 96";#N/A,#N/A,FALSE,"leaseup 96 matrix";#N/A,#N/A,FALSE,"Leaseup and Exp."}</definedName>
    <definedName name="wtretw_1" hidden="1">{#N/A,#N/A,FALSE,"I&amp;E";#N/A,#N/A,FALSE,"rent roll";#N/A,#N/A,FALSE,"96noleaseup";#N/A,#N/A,FALSE,"96noleaseup matrix";#N/A,#N/A,FALSE,"leaseup 96";#N/A,#N/A,FALSE,"leaseup 96 matrix";#N/A,#N/A,FALSE,"Leaseup and Exp."}</definedName>
    <definedName name="x" hidden="1">{#N/A,#N/A,FALSE,"I&amp;E";#N/A,#N/A,FALSE,"rent roll";#N/A,#N/A,FALSE,"96noleaseup";#N/A,#N/A,FALSE,"96noleaseup matrix";#N/A,#N/A,FALSE,"leaseup 96";#N/A,#N/A,FALSE,"leaseup 96 matrix";#N/A,#N/A,FALSE,"Leaseup and Exp."}</definedName>
    <definedName name="x_1" hidden="1">{#N/A,#N/A,FALSE,"I&amp;E";#N/A,#N/A,FALSE,"rent roll";#N/A,#N/A,FALSE,"96noleaseup";#N/A,#N/A,FALSE,"96noleaseup matrix";#N/A,#N/A,FALSE,"leaseup 96";#N/A,#N/A,FALSE,"leaseup 96 matrix";#N/A,#N/A,FALSE,"Leaseup and Exp."}</definedName>
    <definedName name="xoxoxx" hidden="1">{#N/A,#N/A,FALSE,"I&amp;E";#N/A,#N/A,FALSE,"rent roll";#N/A,#N/A,FALSE,"96noleaseup";#N/A,#N/A,FALSE,"96noleaseup matrix";#N/A,#N/A,FALSE,"leaseup 96";#N/A,#N/A,FALSE,"leaseup 96 matrix";#N/A,#N/A,FALSE,"Leaseup and Exp."}</definedName>
    <definedName name="xoxoxx_1" hidden="1">{#N/A,#N/A,FALSE,"I&amp;E";#N/A,#N/A,FALSE,"rent roll";#N/A,#N/A,FALSE,"96noleaseup";#N/A,#N/A,FALSE,"96noleaseup matrix";#N/A,#N/A,FALSE,"leaseup 96";#N/A,#N/A,FALSE,"leaseup 96 matrix";#N/A,#N/A,FALSE,"Leaseup and Exp."}</definedName>
    <definedName name="xx" hidden="1">#REF!</definedName>
    <definedName name="XXX" hidden="1">#REF!</definedName>
    <definedName name="y4eyeuyt" hidden="1">{#N/A,#N/A,FALSE,"I&amp;E";#N/A,#N/A,FALSE,"rent roll";#N/A,#N/A,FALSE,"96noleaseup";#N/A,#N/A,FALSE,"96noleaseup matrix";#N/A,#N/A,FALSE,"leaseup 96";#N/A,#N/A,FALSE,"leaseup 96 matrix";#N/A,#N/A,FALSE,"Leaseup and Exp."}</definedName>
    <definedName name="y4eyeuyt_1" hidden="1">{#N/A,#N/A,FALSE,"I&amp;E";#N/A,#N/A,FALSE,"rent roll";#N/A,#N/A,FALSE,"96noleaseup";#N/A,#N/A,FALSE,"96noleaseup matrix";#N/A,#N/A,FALSE,"leaseup 96";#N/A,#N/A,FALSE,"leaseup 96 matrix";#N/A,#N/A,FALSE,"Leaseup and Exp."}</definedName>
    <definedName name="yfjy" hidden="1">{#N/A,#N/A,FALSE,"I&amp;E";#N/A,#N/A,FALSE,"rent roll";#N/A,#N/A,FALSE,"96noleaseup";#N/A,#N/A,FALSE,"96noleaseup matrix";#N/A,#N/A,FALSE,"leaseup 96";#N/A,#N/A,FALSE,"leaseup 96 matrix";#N/A,#N/A,FALSE,"Leaseup and Exp."}</definedName>
    <definedName name="yfjy_1" hidden="1">{#N/A,#N/A,FALSE,"I&amp;E";#N/A,#N/A,FALSE,"rent roll";#N/A,#N/A,FALSE,"96noleaseup";#N/A,#N/A,FALSE,"96noleaseup matrix";#N/A,#N/A,FALSE,"leaseup 96";#N/A,#N/A,FALSE,"leaseup 96 matrix";#N/A,#N/A,FALSE,"Leaseup and Exp."}</definedName>
    <definedName name="yfjyfj" hidden="1">{#N/A,#N/A,FALSE,"I&amp;E";#N/A,#N/A,FALSE,"rent roll";#N/A,#N/A,FALSE,"96noleaseup";#N/A,#N/A,FALSE,"96noleaseup matrix";#N/A,#N/A,FALSE,"leaseup 96";#N/A,#N/A,FALSE,"leaseup 96 matrix";#N/A,#N/A,FALSE,"Leaseup and Exp."}</definedName>
    <definedName name="yfjyfj_1" hidden="1">{#N/A,#N/A,FALSE,"I&amp;E";#N/A,#N/A,FALSE,"rent roll";#N/A,#N/A,FALSE,"96noleaseup";#N/A,#N/A,FALSE,"96noleaseup matrix";#N/A,#N/A,FALSE,"leaseup 96";#N/A,#N/A,FALSE,"leaseup 96 matrix";#N/A,#N/A,FALSE,"Leaseup and Exp."}</definedName>
    <definedName name="yftyjf" hidden="1">{#N/A,#N/A,FALSE,"I&amp;E";#N/A,#N/A,FALSE,"rent roll";#N/A,#N/A,FALSE,"96noleaseup";#N/A,#N/A,FALSE,"96noleaseup matrix";#N/A,#N/A,FALSE,"leaseup 96";#N/A,#N/A,FALSE,"leaseup 96 matrix";#N/A,#N/A,FALSE,"Leaseup and Exp."}</definedName>
    <definedName name="yftyjf_1" hidden="1">{#N/A,#N/A,FALSE,"I&amp;E";#N/A,#N/A,FALSE,"rent roll";#N/A,#N/A,FALSE,"96noleaseup";#N/A,#N/A,FALSE,"96noleaseup matrix";#N/A,#N/A,FALSE,"leaseup 96";#N/A,#N/A,FALSE,"leaseup 96 matrix";#N/A,#N/A,FALSE,"Leaseup and Exp."}</definedName>
    <definedName name="yjtjtysjj" hidden="1">{#N/A,#N/A,FALSE,"I&amp;E";#N/A,#N/A,FALSE,"rent roll";#N/A,#N/A,FALSE,"96noleaseup";#N/A,#N/A,FALSE,"96noleaseup matrix";#N/A,#N/A,FALSE,"leaseup 96";#N/A,#N/A,FALSE,"leaseup 96 matrix";#N/A,#N/A,FALSE,"Leaseup and Exp."}</definedName>
    <definedName name="yjtjtysjj_1" hidden="1">{#N/A,#N/A,FALSE,"I&amp;E";#N/A,#N/A,FALSE,"rent roll";#N/A,#N/A,FALSE,"96noleaseup";#N/A,#N/A,FALSE,"96noleaseup matrix";#N/A,#N/A,FALSE,"leaseup 96";#N/A,#N/A,FALSE,"leaseup 96 matrix";#N/A,#N/A,FALSE,"Leaseup and Exp."}</definedName>
    <definedName name="ymery" hidden="1">{#N/A,#N/A,TRUE,"Summary";#N/A,#N/A,TRUE,"Large Rev";#N/A,#N/A,TRUE,"Mid Rev";#N/A,#N/A,TRUE,"Small Rev";#N/A,#N/A,TRUE,"Stud Rev";#N/A,#N/A,TRUE,"Salaries";#N/A,#N/A,TRUE,"Adm &amp; Fin"}</definedName>
    <definedName name="ymery_1" hidden="1">{#N/A,#N/A,TRUE,"Summary";#N/A,#N/A,TRUE,"Large Rev";#N/A,#N/A,TRUE,"Mid Rev";#N/A,#N/A,TRUE,"Small Rev";#N/A,#N/A,TRUE,"Stud Rev";#N/A,#N/A,TRUE,"Salaries";#N/A,#N/A,TRUE,"Adm &amp; Fin"}</definedName>
    <definedName name="ymrety" hidden="1">{#N/A,#N/A,FALSE,"I&amp;E";#N/A,#N/A,FALSE,"rent roll";#N/A,#N/A,FALSE,"96noleaseup";#N/A,#N/A,FALSE,"96noleaseup matrix";#N/A,#N/A,FALSE,"leaseup 96";#N/A,#N/A,FALSE,"leaseup 96 matrix";#N/A,#N/A,FALSE,"Leaseup and Exp."}</definedName>
    <definedName name="ymrety_1" hidden="1">{#N/A,#N/A,FALSE,"I&amp;E";#N/A,#N/A,FALSE,"rent roll";#N/A,#N/A,FALSE,"96noleaseup";#N/A,#N/A,FALSE,"96noleaseup matrix";#N/A,#N/A,FALSE,"leaseup 96";#N/A,#N/A,FALSE,"leaseup 96 matrix";#N/A,#N/A,FALSE,"Leaseup and Exp."}</definedName>
    <definedName name="ymrey" hidden="1">{#N/A,#N/A,FALSE,"I&amp;E";#N/A,#N/A,FALSE,"rent roll";#N/A,#N/A,FALSE,"96noleaseup";#N/A,#N/A,FALSE,"96noleaseup matrix";#N/A,#N/A,FALSE,"leaseup 96";#N/A,#N/A,FALSE,"leaseup 96 matrix";#N/A,#N/A,FALSE,"Leaseup and Exp."}</definedName>
    <definedName name="ymrey_1" hidden="1">{#N/A,#N/A,FALSE,"I&amp;E";#N/A,#N/A,FALSE,"rent roll";#N/A,#N/A,FALSE,"96noleaseup";#N/A,#N/A,FALSE,"96noleaseup matrix";#N/A,#N/A,FALSE,"leaseup 96";#N/A,#N/A,FALSE,"leaseup 96 matrix";#N/A,#N/A,FALSE,"Leaseup and Exp."}</definedName>
    <definedName name="ymryee" hidden="1">{"Summary",#N/A,TRUE,"Fin. Summary";"Payroll",#N/A,TRUE,"Staffing";"Personnel Phasing",#N/A,TRUE,"Staffing"}</definedName>
    <definedName name="ymryee_1" hidden="1">{"Summary",#N/A,TRUE,"Fin. Summary";"Payroll",#N/A,TRUE,"Staffing";"Personnel Phasing",#N/A,TRUE,"Staffing"}</definedName>
    <definedName name="yrtyur" hidden="1">{#N/A,#N/A,FALSE,"I&amp;E";#N/A,#N/A,FALSE,"rent roll";#N/A,#N/A,FALSE,"96noleaseup";#N/A,#N/A,FALSE,"96noleaseup matrix";#N/A,#N/A,FALSE,"leaseup 96";#N/A,#N/A,FALSE,"leaseup 96 matrix";#N/A,#N/A,FALSE,"Leaseup and Exp."}</definedName>
    <definedName name="yrtyur_1" hidden="1">{#N/A,#N/A,FALSE,"I&amp;E";#N/A,#N/A,FALSE,"rent roll";#N/A,#N/A,FALSE,"96noleaseup";#N/A,#N/A,FALSE,"96noleaseup matrix";#N/A,#N/A,FALSE,"leaseup 96";#N/A,#N/A,FALSE,"leaseup 96 matrix";#N/A,#N/A,FALSE,"Leaseup and Exp."}</definedName>
    <definedName name="yrysey" hidden="1">{#N/A,#N/A,FALSE,"I&amp;E";#N/A,#N/A,FALSE,"rent roll";#N/A,#N/A,FALSE,"96noleaseup";#N/A,#N/A,FALSE,"96noleaseup matrix";#N/A,#N/A,FALSE,"leaseup 96";#N/A,#N/A,FALSE,"leaseup 96 matrix";#N/A,#N/A,FALSE,"Leaseup and Exp."}</definedName>
    <definedName name="yrysey_1" hidden="1">{#N/A,#N/A,FALSE,"I&amp;E";#N/A,#N/A,FALSE,"rent roll";#N/A,#N/A,FALSE,"96noleaseup";#N/A,#N/A,FALSE,"96noleaseup matrix";#N/A,#N/A,FALSE,"leaseup 96";#N/A,#N/A,FALSE,"leaseup 96 matrix";#N/A,#N/A,FALSE,"Leaseup and Exp."}</definedName>
    <definedName name="ytdjy" hidden="1">{#N/A,#N/A,TRUE,"Summary";#N/A,#N/A,TRUE,"Large Rev";#N/A,#N/A,TRUE,"Mid Rev";#N/A,#N/A,TRUE,"Small Rev";#N/A,#N/A,TRUE,"Stud Rev";#N/A,#N/A,TRUE,"Salaries";#N/A,#N/A,TRUE,"Adm &amp; Fin"}</definedName>
    <definedName name="ytdjy_1" hidden="1">{#N/A,#N/A,TRUE,"Summary";#N/A,#N/A,TRUE,"Large Rev";#N/A,#N/A,TRUE,"Mid Rev";#N/A,#N/A,TRUE,"Small Rev";#N/A,#N/A,TRUE,"Stud Rev";#N/A,#N/A,TRUE,"Salaries";#N/A,#N/A,TRUE,"Adm &amp; Fin"}</definedName>
    <definedName name="ytfkytf" hidden="1">{#N/A,#N/A,TRUE,"Summary";#N/A,#N/A,TRUE,"Large Rev";#N/A,#N/A,TRUE,"Mid Rev";#N/A,#N/A,TRUE,"Small Rev";#N/A,#N/A,TRUE,"Stud Rev";#N/A,#N/A,TRUE,"Salaries";#N/A,#N/A,TRUE,"Adm &amp; Fin"}</definedName>
    <definedName name="ytfkytf_1" hidden="1">{#N/A,#N/A,TRUE,"Summary";#N/A,#N/A,TRUE,"Large Rev";#N/A,#N/A,TRUE,"Mid Rev";#N/A,#N/A,TRUE,"Small Rev";#N/A,#N/A,TRUE,"Stud Rev";#N/A,#N/A,TRUE,"Salaries";#N/A,#N/A,TRUE,"Adm &amp; Fin"}</definedName>
    <definedName name="ytfytjf" hidden="1">{#N/A,#N/A,FALSE,"I&amp;E";#N/A,#N/A,FALSE,"rent roll";#N/A,#N/A,FALSE,"96noleaseup";#N/A,#N/A,FALSE,"96noleaseup matrix";#N/A,#N/A,FALSE,"leaseup 96";#N/A,#N/A,FALSE,"leaseup 96 matrix";#N/A,#N/A,FALSE,"Leaseup and Exp."}</definedName>
    <definedName name="ytfytjf_1" hidden="1">{#N/A,#N/A,FALSE,"I&amp;E";#N/A,#N/A,FALSE,"rent roll";#N/A,#N/A,FALSE,"96noleaseup";#N/A,#N/A,FALSE,"96noleaseup matrix";#N/A,#N/A,FALSE,"leaseup 96";#N/A,#N/A,FALSE,"leaseup 96 matrix";#N/A,#N/A,FALSE,"Leaseup and Exp."}</definedName>
    <definedName name="ytjr" hidden="1">{"Summary",#N/A,TRUE,"Fin. Summary";"Payroll",#N/A,TRUE,"Staffing";"Personnel Phasing",#N/A,TRUE,"Staffing"}</definedName>
    <definedName name="ytjr_1" hidden="1">{"Summary",#N/A,TRUE,"Fin. Summary";"Payroll",#N/A,TRUE,"Staffing";"Personnel Phasing",#N/A,TRUE,"Staffing"}</definedName>
    <definedName name="ytkrky" hidden="1">{#N/A,#N/A,TRUE,"Summary";#N/A,#N/A,TRUE,"Large Rev";#N/A,#N/A,TRUE,"Mid Rev";#N/A,#N/A,TRUE,"Small Rev";#N/A,#N/A,TRUE,"Stud Rev";#N/A,#N/A,TRUE,"Salaries";#N/A,#N/A,TRUE,"Adm &amp; Fin"}</definedName>
    <definedName name="ytkrky_1" hidden="1">{#N/A,#N/A,TRUE,"Summary";#N/A,#N/A,TRUE,"Large Rev";#N/A,#N/A,TRUE,"Mid Rev";#N/A,#N/A,TRUE,"Small Rev";#N/A,#N/A,TRUE,"Stud Rev";#N/A,#N/A,TRUE,"Salaries";#N/A,#N/A,TRUE,"Adm &amp; Fin"}</definedName>
    <definedName name="ytre" hidden="1">{#N/A,#N/A,FALSE,"I&amp;E";#N/A,#N/A,FALSE,"rent roll";#N/A,#N/A,FALSE,"96noleaseup";#N/A,#N/A,FALSE,"96noleaseup matrix";#N/A,#N/A,FALSE,"leaseup 96";#N/A,#N/A,FALSE,"leaseup 96 matrix";#N/A,#N/A,FALSE,"Leaseup and Exp."}</definedName>
    <definedName name="ytre_1" hidden="1">{#N/A,#N/A,FALSE,"I&amp;E";#N/A,#N/A,FALSE,"rent roll";#N/A,#N/A,FALSE,"96noleaseup";#N/A,#N/A,FALSE,"96noleaseup matrix";#N/A,#N/A,FALSE,"leaseup 96";#N/A,#N/A,FALSE,"leaseup 96 matrix";#N/A,#N/A,FALSE,"Leaseup and Exp."}</definedName>
    <definedName name="ytrerty" hidden="1">{#N/A,#N/A,TRUE,"Summary";#N/A,#N/A,TRUE,"Large Rev";#N/A,#N/A,TRUE,"Mid Rev";#N/A,#N/A,TRUE,"Small Rev";#N/A,#N/A,TRUE,"Stud Rev";#N/A,#N/A,TRUE,"Salaries";#N/A,#N/A,TRUE,"Adm &amp; Fin"}</definedName>
    <definedName name="ytrerty_1" hidden="1">{#N/A,#N/A,TRUE,"Summary";#N/A,#N/A,TRUE,"Large Rev";#N/A,#N/A,TRUE,"Mid Rev";#N/A,#N/A,TRUE,"Small Rev";#N/A,#N/A,TRUE,"Stud Rev";#N/A,#N/A,TRUE,"Salaries";#N/A,#N/A,TRUE,"Adm &amp; Fin"}</definedName>
    <definedName name="ytrey" hidden="1">{#N/A,#N/A,FALSE,"I&amp;E";#N/A,#N/A,FALSE,"rent roll";#N/A,#N/A,FALSE,"96noleaseup";#N/A,#N/A,FALSE,"96noleaseup matrix";#N/A,#N/A,FALSE,"leaseup 96";#N/A,#N/A,FALSE,"leaseup 96 matrix";#N/A,#N/A,FALSE,"Leaseup and Exp."}</definedName>
    <definedName name="ytrey_1" hidden="1">{#N/A,#N/A,FALSE,"I&amp;E";#N/A,#N/A,FALSE,"rent roll";#N/A,#N/A,FALSE,"96noleaseup";#N/A,#N/A,FALSE,"96noleaseup matrix";#N/A,#N/A,FALSE,"leaseup 96";#N/A,#N/A,FALSE,"leaseup 96 matrix";#N/A,#N/A,FALSE,"Leaseup and Exp."}</definedName>
    <definedName name="ytriytity" hidden="1">{#N/A,#N/A,FALSE,"I&amp;E";#N/A,#N/A,FALSE,"rent roll";#N/A,#N/A,FALSE,"96noleaseup";#N/A,#N/A,FALSE,"96noleaseup matrix";#N/A,#N/A,FALSE,"leaseup 96";#N/A,#N/A,FALSE,"leaseup 96 matrix";#N/A,#N/A,FALSE,"Leaseup and Exp."}</definedName>
    <definedName name="ytriytity_1" hidden="1">{#N/A,#N/A,FALSE,"I&amp;E";#N/A,#N/A,FALSE,"rent roll";#N/A,#N/A,FALSE,"96noleaseup";#N/A,#N/A,FALSE,"96noleaseup matrix";#N/A,#N/A,FALSE,"leaseup 96";#N/A,#N/A,FALSE,"leaseup 96 matrix";#N/A,#N/A,FALSE,"Leaseup and Exp."}</definedName>
    <definedName name="ytrjyrt" hidden="1">{#N/A,#N/A,FALSE,"I&amp;E";#N/A,#N/A,FALSE,"rent roll";#N/A,#N/A,FALSE,"96noleaseup";#N/A,#N/A,FALSE,"96noleaseup matrix";#N/A,#N/A,FALSE,"leaseup 96";#N/A,#N/A,FALSE,"leaseup 96 matrix";#N/A,#N/A,FALSE,"Leaseup and Exp."}</definedName>
    <definedName name="ytrjyrt_1" hidden="1">{#N/A,#N/A,FALSE,"I&amp;E";#N/A,#N/A,FALSE,"rent roll";#N/A,#N/A,FALSE,"96noleaseup";#N/A,#N/A,FALSE,"96noleaseup matrix";#N/A,#N/A,FALSE,"leaseup 96";#N/A,#N/A,FALSE,"leaseup 96 matrix";#N/A,#N/A,FALSE,"Leaseup and Exp."}</definedName>
    <definedName name="ytruy" hidden="1">{#N/A,#N/A,FALSE,"I&amp;E";#N/A,#N/A,FALSE,"rent roll";#N/A,#N/A,FALSE,"96noleaseup";#N/A,#N/A,FALSE,"96noleaseup matrix";#N/A,#N/A,FALSE,"leaseup 96";#N/A,#N/A,FALSE,"leaseup 96 matrix";#N/A,#N/A,FALSE,"Leaseup and Exp."}</definedName>
    <definedName name="ytruy_1" hidden="1">{#N/A,#N/A,FALSE,"I&amp;E";#N/A,#N/A,FALSE,"rent roll";#N/A,#N/A,FALSE,"96noleaseup";#N/A,#N/A,FALSE,"96noleaseup matrix";#N/A,#N/A,FALSE,"leaseup 96";#N/A,#N/A,FALSE,"leaseup 96 matrix";#N/A,#N/A,FALSE,"Leaseup and Exp."}</definedName>
    <definedName name="ytruyr" hidden="1">{#N/A,#N/A,FALSE,"I&amp;E";#N/A,#N/A,FALSE,"rent roll";#N/A,#N/A,FALSE,"96noleaseup";#N/A,#N/A,FALSE,"96noleaseup matrix";#N/A,#N/A,FALSE,"leaseup 96";#N/A,#N/A,FALSE,"leaseup 96 matrix";#N/A,#N/A,FALSE,"Leaseup and Exp."}</definedName>
    <definedName name="ytruyr_1" hidden="1">{#N/A,#N/A,FALSE,"I&amp;E";#N/A,#N/A,FALSE,"rent roll";#N/A,#N/A,FALSE,"96noleaseup";#N/A,#N/A,FALSE,"96noleaseup matrix";#N/A,#N/A,FALSE,"leaseup 96";#N/A,#N/A,FALSE,"leaseup 96 matrix";#N/A,#N/A,FALSE,"Leaseup and Exp."}</definedName>
    <definedName name="ytrye" hidden="1">{#N/A,#N/A,FALSE,"I&amp;E";#N/A,#N/A,FALSE,"rent roll";#N/A,#N/A,FALSE,"96noleaseup";#N/A,#N/A,FALSE,"96noleaseup matrix";#N/A,#N/A,FALSE,"leaseup 96";#N/A,#N/A,FALSE,"leaseup 96 matrix";#N/A,#N/A,FALSE,"Leaseup and Exp."}</definedName>
    <definedName name="ytrye_1" hidden="1">{#N/A,#N/A,FALSE,"I&amp;E";#N/A,#N/A,FALSE,"rent roll";#N/A,#N/A,FALSE,"96noleaseup";#N/A,#N/A,FALSE,"96noleaseup matrix";#N/A,#N/A,FALSE,"leaseup 96";#N/A,#N/A,FALSE,"leaseup 96 matrix";#N/A,#N/A,FALSE,"Leaseup and Exp."}</definedName>
    <definedName name="ytryu" hidden="1">{#N/A,#N/A,FALSE,"I&amp;E";#N/A,#N/A,FALSE,"rent roll";#N/A,#N/A,FALSE,"96noleaseup";#N/A,#N/A,FALSE,"96noleaseup matrix";#N/A,#N/A,FALSE,"leaseup 96";#N/A,#N/A,FALSE,"leaseup 96 matrix";#N/A,#N/A,FALSE,"Leaseup and Exp."}</definedName>
    <definedName name="ytryu_1" hidden="1">{#N/A,#N/A,FALSE,"I&amp;E";#N/A,#N/A,FALSE,"rent roll";#N/A,#N/A,FALSE,"96noleaseup";#N/A,#N/A,FALSE,"96noleaseup matrix";#N/A,#N/A,FALSE,"leaseup 96";#N/A,#N/A,FALSE,"leaseup 96 matrix";#N/A,#N/A,FALSE,"Leaseup and Exp."}</definedName>
    <definedName name="ytur" hidden="1">{#N/A,#N/A,FALSE,"I&amp;E";#N/A,#N/A,FALSE,"rent roll";#N/A,#N/A,FALSE,"96noleaseup";#N/A,#N/A,FALSE,"96noleaseup matrix";#N/A,#N/A,FALSE,"leaseup 96";#N/A,#N/A,FALSE,"leaseup 96 matrix";#N/A,#N/A,FALSE,"Leaseup and Exp."}</definedName>
    <definedName name="ytur_1" hidden="1">{#N/A,#N/A,FALSE,"I&amp;E";#N/A,#N/A,FALSE,"rent roll";#N/A,#N/A,FALSE,"96noleaseup";#N/A,#N/A,FALSE,"96noleaseup matrix";#N/A,#N/A,FALSE,"leaseup 96";#N/A,#N/A,FALSE,"leaseup 96 matrix";#N/A,#N/A,FALSE,"Leaseup and Exp."}</definedName>
    <definedName name="yturtu" hidden="1">{#N/A,#N/A,FALSE,"I&amp;E";#N/A,#N/A,FALSE,"rent roll";#N/A,#N/A,FALSE,"96noleaseup";#N/A,#N/A,FALSE,"96noleaseup matrix";#N/A,#N/A,FALSE,"leaseup 96";#N/A,#N/A,FALSE,"leaseup 96 matrix";#N/A,#N/A,FALSE,"Leaseup and Exp."}</definedName>
    <definedName name="yturtu_1" hidden="1">{#N/A,#N/A,FALSE,"I&amp;E";#N/A,#N/A,FALSE,"rent roll";#N/A,#N/A,FALSE,"96noleaseup";#N/A,#N/A,FALSE,"96noleaseup matrix";#N/A,#N/A,FALSE,"leaseup 96";#N/A,#N/A,FALSE,"leaseup 96 matrix";#N/A,#N/A,FALSE,"Leaseup and Exp."}</definedName>
    <definedName name="yturty" hidden="1">{#N/A,#N/A,TRUE,"Summary";#N/A,#N/A,TRUE,"Large Rev";#N/A,#N/A,TRUE,"Mid Rev";#N/A,#N/A,TRUE,"Small Rev";#N/A,#N/A,TRUE,"Stud Rev";#N/A,#N/A,TRUE,"Salaries";#N/A,#N/A,TRUE,"Adm &amp; Fin"}</definedName>
    <definedName name="yturty_1" hidden="1">{#N/A,#N/A,TRUE,"Summary";#N/A,#N/A,TRUE,"Large Rev";#N/A,#N/A,TRUE,"Mid Rev";#N/A,#N/A,TRUE,"Small Rev";#N/A,#N/A,TRUE,"Stud Rev";#N/A,#N/A,TRUE,"Salaries";#N/A,#N/A,TRUE,"Adm &amp; Fin"}</definedName>
    <definedName name="yturtyr" hidden="1">{#N/A,#N/A,TRUE,"Summary";#N/A,#N/A,TRUE,"Large Rev";#N/A,#N/A,TRUE,"Mid Rev";#N/A,#N/A,TRUE,"Small Rev";#N/A,#N/A,TRUE,"Stud Rev";#N/A,#N/A,TRUE,"Salaries";#N/A,#N/A,TRUE,"Adm &amp; Fin"}</definedName>
    <definedName name="yturtyr_1" hidden="1">{#N/A,#N/A,TRUE,"Summary";#N/A,#N/A,TRUE,"Large Rev";#N/A,#N/A,TRUE,"Mid Rev";#N/A,#N/A,TRUE,"Small Rev";#N/A,#N/A,TRUE,"Stud Rev";#N/A,#N/A,TRUE,"Salaries";#N/A,#N/A,TRUE,"Adm &amp; Fin"}</definedName>
    <definedName name="ytykfkty" hidden="1">{#N/A,#N/A,FALSE,"I&amp;E";#N/A,#N/A,FALSE,"rent roll";#N/A,#N/A,FALSE,"96noleaseup";#N/A,#N/A,FALSE,"96noleaseup matrix";#N/A,#N/A,FALSE,"leaseup 96";#N/A,#N/A,FALSE,"leaseup 96 matrix";#N/A,#N/A,FALSE,"Leaseup and Exp."}</definedName>
    <definedName name="ytykfkty_1" hidden="1">{#N/A,#N/A,FALSE,"I&amp;E";#N/A,#N/A,FALSE,"rent roll";#N/A,#N/A,FALSE,"96noleaseup";#N/A,#N/A,FALSE,"96noleaseup matrix";#N/A,#N/A,FALSE,"leaseup 96";#N/A,#N/A,FALSE,"leaseup 96 matrix";#N/A,#N/A,FALSE,"Leaseup and Exp."}</definedName>
    <definedName name="ytyrtyt" hidden="1">{#N/A,#N/A,FALSE,"I&amp;E";#N/A,#N/A,FALSE,"rent roll";#N/A,#N/A,FALSE,"96noleaseup";#N/A,#N/A,FALSE,"96noleaseup matrix";#N/A,#N/A,FALSE,"leaseup 96";#N/A,#N/A,FALSE,"leaseup 96 matrix";#N/A,#N/A,FALSE,"Leaseup and Exp."}</definedName>
    <definedName name="ytyrtyt_1" hidden="1">{#N/A,#N/A,FALSE,"I&amp;E";#N/A,#N/A,FALSE,"rent roll";#N/A,#N/A,FALSE,"96noleaseup";#N/A,#N/A,FALSE,"96noleaseup matrix";#N/A,#N/A,FALSE,"leaseup 96";#N/A,#N/A,FALSE,"leaseup 96 matrix";#N/A,#N/A,FALSE,"Leaseup and Exp."}</definedName>
    <definedName name="ytyuty" hidden="1">{#N/A,#N/A,FALSE,"I&amp;E";#N/A,#N/A,FALSE,"rent roll";#N/A,#N/A,FALSE,"96noleaseup";#N/A,#N/A,FALSE,"96noleaseup matrix";#N/A,#N/A,FALSE,"leaseup 96";#N/A,#N/A,FALSE,"leaseup 96 matrix";#N/A,#N/A,FALSE,"Leaseup and Exp."}</definedName>
    <definedName name="ytyuty_1" hidden="1">{#N/A,#N/A,FALSE,"I&amp;E";#N/A,#N/A,FALSE,"rent roll";#N/A,#N/A,FALSE,"96noleaseup";#N/A,#N/A,FALSE,"96noleaseup matrix";#N/A,#N/A,FALSE,"leaseup 96";#N/A,#N/A,FALSE,"leaseup 96 matrix";#N/A,#N/A,FALSE,"Leaseup and Exp."}</definedName>
    <definedName name="yuit" hidden="1">{#N/A,#N/A,FALSE,"I&amp;E";#N/A,#N/A,FALSE,"rent roll";#N/A,#N/A,FALSE,"96noleaseup";#N/A,#N/A,FALSE,"96noleaseup matrix";#N/A,#N/A,FALSE,"leaseup 96";#N/A,#N/A,FALSE,"leaseup 96 matrix";#N/A,#N/A,FALSE,"Leaseup and Exp."}</definedName>
    <definedName name="yuit_1" hidden="1">{#N/A,#N/A,FALSE,"I&amp;E";#N/A,#N/A,FALSE,"rent roll";#N/A,#N/A,FALSE,"96noleaseup";#N/A,#N/A,FALSE,"96noleaseup matrix";#N/A,#N/A,FALSE,"leaseup 96";#N/A,#N/A,FALSE,"leaseup 96 matrix";#N/A,#N/A,FALSE,"Leaseup and Exp."}</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5" l="1"/>
  <c r="E26" i="5" s="1"/>
  <c r="T25" i="5"/>
  <c r="S25" i="5"/>
  <c r="J25" i="5"/>
  <c r="G25" i="5"/>
  <c r="H25" i="5" s="1"/>
  <c r="J24" i="5"/>
  <c r="G23" i="5"/>
  <c r="T22" i="5"/>
  <c r="S22" i="5"/>
  <c r="J22" i="5"/>
  <c r="G22" i="5"/>
  <c r="S21" i="5"/>
  <c r="P21" i="5"/>
  <c r="G21" i="5"/>
  <c r="H21" i="5" s="1"/>
  <c r="D21" i="5"/>
  <c r="F21" i="5" s="1"/>
  <c r="P20" i="5"/>
  <c r="D20" i="5"/>
  <c r="F20" i="5" s="1"/>
  <c r="K19" i="5"/>
  <c r="J19" i="5"/>
  <c r="J18" i="5" s="1"/>
  <c r="S18" i="5"/>
  <c r="G18" i="5"/>
  <c r="S17" i="5"/>
  <c r="J17" i="5"/>
  <c r="J20" i="5" s="1"/>
  <c r="H17" i="5"/>
  <c r="G17" i="5"/>
  <c r="S14" i="5"/>
  <c r="P14" i="5"/>
  <c r="M14" i="5"/>
  <c r="J14" i="5"/>
  <c r="G14" i="5"/>
  <c r="D14" i="5"/>
  <c r="S11" i="5"/>
  <c r="P11" i="5"/>
  <c r="P25" i="5" s="1"/>
  <c r="J11" i="5"/>
  <c r="J21" i="5" s="1"/>
  <c r="G11" i="5"/>
  <c r="D11" i="5"/>
  <c r="P10" i="5"/>
  <c r="M10" i="5"/>
  <c r="M11" i="5" s="1"/>
  <c r="D15" i="4"/>
  <c r="F12" i="4"/>
  <c r="F11" i="4"/>
  <c r="C5" i="4"/>
  <c r="E22" i="3"/>
  <c r="C15" i="3"/>
  <c r="E13" i="3"/>
  <c r="E12" i="3"/>
  <c r="E9" i="3"/>
  <c r="E8" i="3"/>
  <c r="E7" i="3"/>
  <c r="E6" i="3"/>
  <c r="E5" i="3"/>
  <c r="D5" i="3" s="1"/>
  <c r="D4" i="3"/>
  <c r="E3" i="3"/>
  <c r="C3" i="3"/>
  <c r="F41" i="2"/>
  <c r="C41" i="2"/>
  <c r="E41" i="2" s="1"/>
  <c r="B41" i="2"/>
  <c r="F40" i="2"/>
  <c r="C40" i="2"/>
  <c r="C42" i="2" s="1"/>
  <c r="B40" i="2"/>
  <c r="F39" i="2"/>
  <c r="E39" i="2"/>
  <c r="C39" i="2"/>
  <c r="B39" i="2"/>
  <c r="F35" i="2"/>
  <c r="D35" i="2"/>
  <c r="B35" i="2"/>
  <c r="F34" i="2"/>
  <c r="E34" i="2"/>
  <c r="D34" i="2"/>
  <c r="B34" i="2"/>
  <c r="F33" i="2"/>
  <c r="E32" i="2"/>
  <c r="D32" i="2"/>
  <c r="F30" i="2"/>
  <c r="D30" i="2"/>
  <c r="F29" i="2"/>
  <c r="F26" i="2"/>
  <c r="D26" i="2"/>
  <c r="C26" i="2"/>
  <c r="E23" i="2"/>
  <c r="D23" i="2"/>
  <c r="D33" i="2" s="1"/>
  <c r="E22" i="2"/>
  <c r="E21" i="2"/>
  <c r="C21" i="2"/>
  <c r="E20" i="2"/>
  <c r="C20" i="2"/>
  <c r="E19" i="2"/>
  <c r="C19" i="2"/>
  <c r="E18" i="2"/>
  <c r="L16" i="2"/>
  <c r="K16" i="2"/>
  <c r="J16" i="2"/>
  <c r="I16" i="2"/>
  <c r="H16" i="2"/>
  <c r="F14" i="2"/>
  <c r="D14" i="2"/>
  <c r="F12" i="2"/>
  <c r="D12" i="2"/>
  <c r="F11" i="2"/>
  <c r="F32" i="2" s="1"/>
  <c r="F10" i="2"/>
  <c r="F31" i="2" s="1"/>
  <c r="D10" i="2"/>
  <c r="D31" i="2" s="1"/>
  <c r="F9" i="2"/>
  <c r="D9" i="2"/>
  <c r="F8" i="2"/>
  <c r="D8" i="2"/>
  <c r="F7" i="2"/>
  <c r="F28" i="2" s="1"/>
  <c r="D7" i="2"/>
  <c r="D28" i="2" s="1"/>
  <c r="F6" i="2"/>
  <c r="F27" i="2" s="1"/>
  <c r="D6" i="2"/>
  <c r="D15" i="2" s="1"/>
  <c r="C6" i="2"/>
  <c r="E6" i="2" s="1"/>
  <c r="F5" i="2"/>
  <c r="D5" i="2"/>
  <c r="C5" i="2"/>
  <c r="E5" i="2" s="1"/>
  <c r="C4" i="2"/>
  <c r="C3" i="4" s="1"/>
  <c r="C15" i="4" s="1"/>
  <c r="L19" i="5" l="1"/>
  <c r="J26" i="5"/>
  <c r="K26" i="5" s="1"/>
  <c r="K20" i="5"/>
  <c r="P26" i="5"/>
  <c r="R25" i="5" s="1"/>
  <c r="M24" i="5"/>
  <c r="M25" i="5"/>
  <c r="M21" i="5"/>
  <c r="M19" i="5"/>
  <c r="M22" i="5"/>
  <c r="M17" i="5"/>
  <c r="L22" i="5"/>
  <c r="I17" i="5"/>
  <c r="I18" i="5"/>
  <c r="L18" i="5"/>
  <c r="K18" i="5"/>
  <c r="K21" i="5"/>
  <c r="Q25" i="5"/>
  <c r="C7" i="2"/>
  <c r="C27" i="2"/>
  <c r="H18" i="5"/>
  <c r="S20" i="5"/>
  <c r="Q21" i="5"/>
  <c r="D27" i="2"/>
  <c r="K25" i="5"/>
  <c r="E27" i="2"/>
  <c r="E20" i="5"/>
  <c r="H23" i="5"/>
  <c r="G20" i="5"/>
  <c r="L17" i="5"/>
  <c r="D29" i="2"/>
  <c r="D36" i="2" s="1"/>
  <c r="T18" i="5"/>
  <c r="K22" i="5"/>
  <c r="E15" i="3"/>
  <c r="P24" i="5"/>
  <c r="T17" i="5"/>
  <c r="E26" i="2"/>
  <c r="E40" i="2"/>
  <c r="E42" i="2" s="1"/>
  <c r="D6" i="4" s="1"/>
  <c r="Q20" i="5"/>
  <c r="T21" i="5"/>
  <c r="E21" i="5"/>
  <c r="K24" i="5"/>
  <c r="H22" i="5"/>
  <c r="K17" i="5"/>
  <c r="S26" i="5" l="1"/>
  <c r="U20" i="5"/>
  <c r="T20" i="5"/>
  <c r="C6" i="4"/>
  <c r="I20" i="5"/>
  <c r="G26" i="5"/>
  <c r="H20" i="5"/>
  <c r="Q24" i="5"/>
  <c r="R24" i="5"/>
  <c r="L25" i="5"/>
  <c r="L20" i="5"/>
  <c r="U18" i="5"/>
  <c r="N22" i="5"/>
  <c r="D10" i="6" s="1"/>
  <c r="C28" i="2"/>
  <c r="C8" i="2"/>
  <c r="E7" i="2"/>
  <c r="N25" i="5"/>
  <c r="E13" i="6" s="1"/>
  <c r="U17" i="5"/>
  <c r="N24" i="5"/>
  <c r="D12" i="6" s="1"/>
  <c r="Q26" i="5"/>
  <c r="R20" i="5"/>
  <c r="E12" i="6"/>
  <c r="N21" i="5"/>
  <c r="C9" i="6"/>
  <c r="E9" i="6"/>
  <c r="D9" i="6"/>
  <c r="D15" i="3"/>
  <c r="D7" i="4"/>
  <c r="D13" i="6"/>
  <c r="E5" i="6"/>
  <c r="L24" i="5"/>
  <c r="R21" i="5"/>
  <c r="C11" i="6"/>
  <c r="E11" i="6"/>
  <c r="D11" i="6"/>
  <c r="L21" i="5"/>
  <c r="N17" i="5"/>
  <c r="D5" i="6" s="1"/>
  <c r="M18" i="5"/>
  <c r="N19" i="5"/>
  <c r="E8" i="2" l="1"/>
  <c r="E29" i="2" s="1"/>
  <c r="C9" i="2"/>
  <c r="C29" i="2"/>
  <c r="I25" i="5"/>
  <c r="H26" i="5"/>
  <c r="I22" i="5"/>
  <c r="I21" i="5"/>
  <c r="I23" i="5"/>
  <c r="D10" i="4"/>
  <c r="E23" i="3" s="1"/>
  <c r="E25" i="3" s="1"/>
  <c r="C7" i="4"/>
  <c r="O18" i="5"/>
  <c r="N18" i="5"/>
  <c r="E6" i="4"/>
  <c r="E28" i="2"/>
  <c r="C12" i="6"/>
  <c r="D7" i="6"/>
  <c r="C7" i="6"/>
  <c r="E7" i="6"/>
  <c r="M20" i="5"/>
  <c r="E10" i="6"/>
  <c r="C10" i="6"/>
  <c r="C13" i="6"/>
  <c r="T26" i="5"/>
  <c r="U25" i="5"/>
  <c r="U22" i="5"/>
  <c r="U21" i="5"/>
  <c r="C5" i="6"/>
  <c r="E6" i="6" l="1"/>
  <c r="C6" i="6"/>
  <c r="D6" i="6"/>
  <c r="N20" i="5"/>
  <c r="M26" i="5"/>
  <c r="O20" i="5"/>
  <c r="O17" i="5"/>
  <c r="O19" i="5"/>
  <c r="G11" i="6"/>
  <c r="F11" i="6"/>
  <c r="H11" i="6"/>
  <c r="E9" i="2"/>
  <c r="C30" i="2"/>
  <c r="C10" i="2"/>
  <c r="E30" i="2" l="1"/>
  <c r="F8" i="6"/>
  <c r="H8" i="6"/>
  <c r="G8" i="6"/>
  <c r="N26" i="5"/>
  <c r="O22" i="5"/>
  <c r="O21" i="5"/>
  <c r="O25" i="5"/>
  <c r="O24" i="5"/>
  <c r="E10" i="2"/>
  <c r="E31" i="2" s="1"/>
  <c r="C11" i="2"/>
  <c r="C31" i="2"/>
  <c r="C8" i="6"/>
  <c r="D8" i="6"/>
  <c r="E8" i="6"/>
  <c r="F9" i="6" l="1"/>
  <c r="H9" i="6"/>
  <c r="G9" i="6"/>
  <c r="C32" i="2"/>
  <c r="C12" i="2"/>
  <c r="G12" i="6"/>
  <c r="F12" i="6"/>
  <c r="H12" i="6"/>
  <c r="G13" i="6"/>
  <c r="H13" i="6"/>
  <c r="F13" i="6"/>
  <c r="F10" i="6"/>
  <c r="H10" i="6"/>
  <c r="G10" i="6"/>
  <c r="E14" i="6"/>
  <c r="C14" i="6"/>
  <c r="D14" i="6"/>
  <c r="E12" i="2" l="1"/>
  <c r="E33" i="2" s="1"/>
  <c r="C33" i="2"/>
  <c r="C13" i="2"/>
  <c r="C14" i="2" l="1"/>
  <c r="C34" i="2"/>
  <c r="E14" i="2" l="1"/>
  <c r="C35" i="2"/>
  <c r="E35" i="2" l="1"/>
  <c r="E36" i="2" s="1"/>
  <c r="E15" i="2"/>
  <c r="E44" i="2" l="1"/>
  <c r="D4" i="4"/>
  <c r="C4" i="4" l="1"/>
  <c r="D8" i="4"/>
  <c r="D11" i="4" l="1"/>
  <c r="C8" i="4"/>
  <c r="D12" i="4"/>
  <c r="E8" i="4"/>
  <c r="D13" i="4"/>
  <c r="C13" i="4" s="1"/>
  <c r="E7" i="4"/>
  <c r="E4" i="4"/>
  <c r="D14" i="4" l="1"/>
  <c r="E14" i="4"/>
  <c r="E15" i="4"/>
  <c r="C16" i="4"/>
  <c r="D16" i="4"/>
  <c r="E16" i="4"/>
</calcChain>
</file>

<file path=xl/sharedStrings.xml><?xml version="1.0" encoding="utf-8"?>
<sst xmlns="http://schemas.openxmlformats.org/spreadsheetml/2006/main" count="273" uniqueCount="180">
  <si>
    <t>DEVELOPMENT COSTS (REFERENCE &amp; TRAINING)</t>
  </si>
  <si>
    <r>
      <t xml:space="preserve">↓ ADDITIONAL INSTRUCTIONS / STEPS / INFO BELOW </t>
    </r>
    <r>
      <rPr>
        <b/>
        <sz val="14"/>
        <color theme="1"/>
        <rFont val="Calibri"/>
        <family val="2"/>
      </rPr>
      <t>↓</t>
    </r>
  </si>
  <si>
    <t>YOUR PROJECT NOTES (For Sections on Left):</t>
  </si>
  <si>
    <r>
      <t>Reference the Marshall Swift Valuation Guide</t>
    </r>
    <r>
      <rPr>
        <sz val="12"/>
        <color theme="1"/>
        <rFont val="Calibri"/>
        <family val="2"/>
        <scheme val="minor"/>
      </rPr>
      <t xml:space="preserve"> (Saved in Dropbox: Sage Commercial Team Folder&gt;Market Data&gt;Marshall &amp; Swift)</t>
    </r>
  </si>
  <si>
    <t>General Development Costs:</t>
  </si>
  <si>
    <t>Quality Level: Base Horizontal Const. Costs (Excellent is most common if higher end, and because MVS estimates often come in low with lower grade quality pricing)</t>
  </si>
  <si>
    <r>
      <t xml:space="preserve">MVS Section(s): </t>
    </r>
    <r>
      <rPr>
        <sz val="11"/>
        <color theme="1"/>
        <rFont val="Calibri"/>
        <family val="2"/>
        <scheme val="minor"/>
      </rPr>
      <t>for Manufactured Housing Parks - Section 63</t>
    </r>
  </si>
  <si>
    <t>for quality level tables</t>
  </si>
  <si>
    <t>Quality Level: Training Video Link (Date Video Last Updated 0/0/0):</t>
  </si>
  <si>
    <t>Modifiers / Multipliers</t>
  </si>
  <si>
    <t>Multipliers: Training Video Link (Date Video Last Updated 0/0/0):</t>
  </si>
  <si>
    <r>
      <t xml:space="preserve">MVS Section(s): </t>
    </r>
    <r>
      <rPr>
        <sz val="11"/>
        <color theme="1"/>
        <rFont val="Calibri"/>
        <family val="2"/>
        <scheme val="minor"/>
      </rPr>
      <t>Section 63 for sites / per site quantity or site square footage</t>
    </r>
  </si>
  <si>
    <t>for MVS Zone Multiplier Map, # Space Multiplier, Gross Area per Space Multiplier</t>
  </si>
  <si>
    <r>
      <t xml:space="preserve">MVS Section(s): </t>
    </r>
    <r>
      <rPr>
        <sz val="11"/>
        <color theme="1"/>
        <rFont val="Calibri"/>
        <family val="2"/>
        <scheme val="minor"/>
      </rPr>
      <t>Section 99 - Nearest State / City / County Multiplier</t>
    </r>
  </si>
  <si>
    <t>Construction Class for City/State/Area Modifier (A, B, C, D, S): Training Video Link (Date Video Last Updated 0/0/0):</t>
  </si>
  <si>
    <t>Site Improvements Costing: Driveway Gates, Yard Improvements / Landscaping, Fences, Pools, Decks, etc.</t>
  </si>
  <si>
    <r>
      <t xml:space="preserve">MVS Section(s): </t>
    </r>
    <r>
      <rPr>
        <sz val="11"/>
        <color theme="1"/>
        <rFont val="Calibri"/>
        <family val="2"/>
        <scheme val="minor"/>
      </rPr>
      <t>Section 66</t>
    </r>
  </si>
  <si>
    <t>Additional Building Improvements and Amenities</t>
  </si>
  <si>
    <t>Example AI (ChatGPT) Search and Summary Prompt (Copy &amp; Paste):</t>
  </si>
  <si>
    <t>*NOTE: There are 2 Approaches below, 1 for Web Research Only (tends to be most accurate), and 1 for MVS &amp; Only using Web Research where necessary (good to compare with web research only version).</t>
  </si>
  <si>
    <t>STEP 1 AI PROMPT (WEB RESEARCH ADDL. BLDG. COSTING *TENDS TO BE MORE IN LINE WITH WHAT WE SEE FOR COSTS IN REAL LIFE):</t>
  </si>
  <si>
    <t>Resort Description: [TYPE YOUR RESORT SIZE IN ACRES, RESORT UNIT QUANTITY, RV SITE QUANTITY, RESORT QUALITY LEVEL]. I have already projected costs for the horizontal infrastructure construction of the [RV SITES or RV SITES &amp; GLAMPING / LODGING UNITS or GLAMPING / LODGING UNITS], and [I have also estimated the costs for the glamping units themselves. OMIT IF NOT NEEDED FOR RV ONLY RESORTS].
In this message, I am including the list of Additional Building Improvements, Land Improvements, and Amenities for an outdoor hospitality development that requires cost estimates for construction, covering each item in the list, including all materials and labor. If there are also options for pre-built / modular, then include both stick-built and modular options with all details and pricing.
Please use any and all legitimate internet resources you can find and use to estimate each item's costs:
1) Per Space Method
2) Calculator Method
Quality Level: [TYPE QUALITY LEVEL DESCRIPTION, I.E., LOW, AVERAGE, GOOD, VERY GOOD, HIGH-END, LUXURY, &amp; ANY OHTER DETAILS YOU FIND PERTINENT]
I would like you to estimate the appropriate / applicable needed size, linear feet, quantity, and square footage of each item (and provide all those details of what you chose in your estimates), basing your projection for size and quantity on the information I provided about the resort unit and site quantities, resort size, resort area, and resort quality. If you need more information about an item (such as size, type, quality, or square footage) to provide accurate estimates, please ask, but I would prefer you locate the needed information yourself and project all costs, breakdowns, and information requested with citations / sources in one reply. But, I would prefer you locate the needed information yourself and project all costs, breakdowns, and information requested with citations / sources in one reply. I would really like you to find costs through the internet or other resources, and note how you estimated the costs or where you found any hard figures. Generally, I don't need FF&amp;E Costs as we apply a percentage to the construction cost to calculate an overall FF&amp;E Cost.
Estimate costs for lighting as appropriate / needed for any pool deck area, pickleball and sports courts, or any other areas deemed in need of nighttime lighting, if appropriate for this resort. Please show the lighting cost for each item type next to, but separate from, the cost of the item itself.
Cite your sources and show your work. Citations should be in a format that a human can easily understand. Provide company names used and website URLs, and with Website URLs separate each link in your reply so each can be individually seen by a human for copying and pasting elsewhere without them being grouped together. 
Here is the list:
[TYPE OR PASTE YOUR ADDITIONAL BUILDINGS / AMENITIES LIST]
Square Footage and Construction Class (A, B, C, D, S) and Any Special Finishings: [TYPE OR PASTE PER ITEM THE ITEM NAME FROM YOUR LIST WITH SQUARE FOOTAGE, NUMBER OF STORIES, SIZE, TYPE, CONSTRUCTION TYPE A, B, C, D, OR S &amp; ANY SPECIAL FINISHES PREFERRED, OR OTHER HELPUL COSTING INFO YOU HAVE].
The Marshall and Swift Cost Manual is uploaded with this message for you to use. [USE THE ATTACHMENT FUNCTION TO UPLOAD THE CURRENT MARSHALL AND SWIFT COST MANUAL WITH THIS MESSAGE].</t>
  </si>
  <si>
    <t>STEP 2 AI PROMPT - WEB SEARCH ONLY: [Once you are satisfied with the AI's overall estimates generally, then send this next prompt].</t>
  </si>
  <si>
    <t>Please utilize the style guide in your saved memory (but add the following items) to now generate an Excel Spreadsheet with the 1st column listing the item you estimated costs for, the 2nd column with the Quantity of the item, 3rd column with Cost Per Item, 4th Column with either Square Feet (SF) of the item or Linear Feet (LF) or other appropriate measure, 5th Columns with Cost / Square Foot ($ / SF) or Cost / Linear Foot ($ / LF), 6th Column With Price Total for the Total Quantity &amp; Overall Cost for that Item and at bottom the Grand Total for Total Quanity and Total Cost of All Items, 7th Column with Notes for where the Costing Came from for Each Line / Row Item (such as company names &amp; website URLs. All links should be separate from each other so I can view, copy and paste each.). All FF&amp;E Costs Estimates - should be on a separate Tab in the same Excel worksheet.</t>
  </si>
  <si>
    <t>STEP 1 AI PROMPT (MARSHALL &amp; SWIFT ADDL. BLDG. COSTING *TENDS TO BE HIGHER THAN WHAT WE SEE FOR COSTS IN REAL LIFE):</t>
  </si>
  <si>
    <t>Resort Description: [TYPE YOUR RESORT SIZE IN ACRES, RESORT UNIT QUANTITY, RV SITE QUANTITY, RESORT QUALITY LEVEL]. I have already projected costs for the horizontal infrastructure construction of the RV sites and glamping unit sites using the Marshall and Swift Trailer and Manufactured Housing Park section, and I have also estimated the costs for the glamping units themselves.
In this message, I am including the list of Additional Building Improvements, Land Improvements, and Amenities for an outdoor hospitality development that requires cost estimates for construction, covering each item in the list, including all materials and labor. If there are also options for pre-built / modular, then include both stick-built and modular options with all details and pricing.
Please use the Marshall and Swift Cost Guide I provided and estimate each item's costs via both methods where possible:
1) Per Space Method
2) Calculator Method
Only use the Marshall &amp; Swift Multipliers as appropriate and / or as directed by the M&amp;S Guide for the methods they are meant to apply to in the estimate calculations.
Region Multiplier (M&amp;S): [TYPE THE M&amp;S REGION OR ACTUAL MULTIPLIER #]
Local Cost Multiplier (M&amp;S): [TYPE THE CITY, COUNTY, AND / OR STATE YOU'VE CHOSEN FROM M&amp;S OR ACTUAL MULTIPLIER #]
Number of Spaces Multiplier: [TYPE THE MULTIPLIER # YOU'VE CHOSEN]
SF Square Foot / Space Multiplier: [TYPE THE MULTIPLIER # YOU'VE CHOSEN]
Quality Level (M&amp;S): [TYPE QUALITY LEVEL YOU'VE CHOSEN FROM M&amp;S]
I would like you to estimate the appropriate / applicable needed size, linear feet, quantity, and square footage of each item (and provide all those details of what you chose in your estimates), basing your projection for size and quantity on the information I provided about the resort unit and site quantities, resort size, resort area, and resort quality. If you need more information about an item (such as size, type, quality, or square footage) to provide accurate estimates, please ask, but I would prefer you locate the needed information yourself and project all costs, breakdowns, and information requested with citations / sources in one reply. If there is an item that cannot be estimated using the Marshall and Swift Costing Guide, please let me know. But, I would like you to find costs through the internet or other resources, and note how you estimated the costs or where you found any hard figures. Generally, I don't need FF&amp;E Costs as we apply a percentage to the construction cost to calculate an overall FF&amp;E Cost.
Estimate costs for lighting as appropriate / needed for any pool deck area, pickleball and sports courts, or any other areas deemed in need of nighttime lighting, if appropriate for this resort. Please show the lighting cost for each item type next to, but separate from, the cost of the item itself.
I want you to choose the Construction Class in the M&amp;S Guide and the Finishings based on the quality level I provided with your best educated choice and report what you chose for any items they apply to.
Cite your sources and show your work. Citations should be in a format that a human can easily understand. Provide Section # and Page Number in the Section for Marshall Swift Cost Guide references and calculations, and with Website URLs separate each link in your reply so each can be individually seen by a human for copying and pasting elsewhere without them being grouped together. 
Here is the list:
[TYPE OR PASTE YOUR ADDITIONAL BUILDINGS / AMENITIES LIST]
Square Footage and Construction Class (A, B, C, D, S) and Any Special Finishings: [TYPE OR PASTE PER ITEM THE ITEM NAME FROM YOUR LIST WITH SQUARE FOOTAGE, NUMBER OF STORIES, SIZE, TYPE, CONSTRUCTION TYPE A, B, C, D, OR S &amp; ANY SPECIAL FINISHES PREFERRED, OR OTHER HELPUL COSTING INFO YOU HAVE].
The Marshall and Swift Cost Manual is uploaded with this message for you to use. [USE THE ATTACHMENT FUNCTION TO UPLOAD THE CURRENT MARSHALL AND SWIFT COST MANUAL WITH THIS MESSAGE].</t>
  </si>
  <si>
    <t>STEP 2 AI PROMPT - MARSHALL &amp; SWIFT WITH SOME WEB SEARCH AS NECESSARY: [Once you are satisfied with the AI's overall estimates generally, then send this next prompt].</t>
  </si>
  <si>
    <t>Please utilize the style guide in your saved memory (but add the following items) to now generate an Excel Spreadsheet with the 1st column listing the item you estimated costs for, the 2nd column with the Quantity of the item, 3rd column with Cost Per Item, 4th Column with either Square Feet (SF) of the item or Linear Feet (LF) or other appropriate measure, 5th Columns with Cost / Square Foot ($ / SF) or Cost / Linear Foot ($ / LF), 6th Column With Price Total for the Total Quantity &amp; Overall Cost for that Item and at bottom the Grand Total for Total Quanity and Total Cost of All Items, 7th Column with Notes for where the Costing Came from for Each Line / Row Item (ie, MVS for Marshall &amp; Swift, or other Sources Cited, such as company names &amp; website URLs. All links should be separate from each other so I can view, copy and paste each.). All FF&amp;E Costs Estimates - should be on a separate Tab in the same Excel worksheet.</t>
  </si>
  <si>
    <t>Unit Costs (Glamping / Lodging)</t>
  </si>
  <si>
    <t>Unit Costs (Glamping / Lodging): Training Video Link (Date Video Last Updated 0/0/0):</t>
  </si>
  <si>
    <t>*NOTE: First check to see if the client can or has provided actual unit cost quotes.</t>
  </si>
  <si>
    <t>Research cost guides from manufacturers or Sage unit cost reference materials, OR the Walden Unit Cost Guide</t>
  </si>
  <si>
    <t>If Stick-built: Could use MVS and local / construction class multiplier (sometimes comes out high)</t>
  </si>
  <si>
    <t>Estimate the cost for materials and labor to both stick-build or purchase modular / pre-built and install for the following units and specifications: [TYPE or LIST GLAMPING / LODGING UNIT TYPE(S) &amp; QUANTITY OF EACH, TYPE QUALITY LEVEL EACH, TYPE SIZE IN SF EACH, &amp; ADD DECKS / PLATFORM WHERE NEEDED PER UNIT TYPE]. Please exclude the horizontal site work needed for infrastructure, as I have already estimated this separately. Cite your sources and findings and show your work for any calculations or estimates.</t>
  </si>
  <si>
    <t>Example AI (ChatGPT AGENT MODE) Search and Summary Prompt (Copy &amp; Paste):</t>
  </si>
  <si>
    <t>Excellent</t>
  </si>
  <si>
    <t>&lt;---DROPDOWN BOX</t>
  </si>
  <si>
    <t xml:space="preserve">Site Development Costs </t>
  </si>
  <si>
    <t># Sites</t>
  </si>
  <si>
    <t>P. Site</t>
  </si>
  <si>
    <t>Total</t>
  </si>
  <si>
    <t>Quality Level / Notes</t>
  </si>
  <si>
    <t>DO NOT CHANGE</t>
  </si>
  <si>
    <t>Number of Units/Sites</t>
  </si>
  <si>
    <t>Good</t>
  </si>
  <si>
    <t>Average</t>
  </si>
  <si>
    <t>Low</t>
  </si>
  <si>
    <t>Cheap</t>
  </si>
  <si>
    <t xml:space="preserve">Engineering </t>
  </si>
  <si>
    <t>Grading</t>
  </si>
  <si>
    <t>Street Paving</t>
  </si>
  <si>
    <t xml:space="preserve">Street Paving </t>
  </si>
  <si>
    <t xml:space="preserve">Patios and Walks </t>
  </si>
  <si>
    <t>Septic</t>
  </si>
  <si>
    <t xml:space="preserve">Sewer </t>
  </si>
  <si>
    <t>Water</t>
  </si>
  <si>
    <t>Gas</t>
  </si>
  <si>
    <t>N/A</t>
  </si>
  <si>
    <t>Electrical</t>
  </si>
  <si>
    <t xml:space="preserve">Electrical </t>
  </si>
  <si>
    <t>Buildings</t>
  </si>
  <si>
    <t>Separate Calc.</t>
  </si>
  <si>
    <t>Miscellaneous</t>
  </si>
  <si>
    <t>Subtotal Cost per Unit</t>
  </si>
  <si>
    <t>Cost Multipliers</t>
  </si>
  <si>
    <t>Area / # / SF</t>
  </si>
  <si>
    <t>Multipliers</t>
  </si>
  <si>
    <t>Notes</t>
  </si>
  <si>
    <t>Current Cost Multiplier</t>
  </si>
  <si>
    <t>Western</t>
  </si>
  <si>
    <t>MVS</t>
  </si>
  <si>
    <t>Local Multiplier</t>
  </si>
  <si>
    <t>Number of Spaces Multiplier</t>
  </si>
  <si>
    <t>Average Area (SF) per Space Multiplier</t>
  </si>
  <si>
    <t xml:space="preserve">Additional Multiplier </t>
  </si>
  <si>
    <t>Net Multiplier</t>
  </si>
  <si>
    <t>Site Dev Costs (w/ Multiplier)</t>
  </si>
  <si>
    <t>P. Space</t>
  </si>
  <si>
    <t>$ Total</t>
  </si>
  <si>
    <t>Total Site Dev Costs (w/ Multiplier)</t>
  </si>
  <si>
    <t>Unit Costs</t>
  </si>
  <si>
    <t>#</t>
  </si>
  <si>
    <t>P. Unit</t>
  </si>
  <si>
    <t>Total Unit Costs</t>
  </si>
  <si>
    <t>Total Site Development Costs + Unit Costs</t>
  </si>
  <si>
    <t>Additional Structures / Site Improvements</t>
  </si>
  <si>
    <t xml:space="preserve"> SF</t>
  </si>
  <si>
    <t>$ / SF</t>
  </si>
  <si>
    <t>Clubhouse with laundry and showers</t>
  </si>
  <si>
    <t>Based on MVS + Client Description</t>
  </si>
  <si>
    <t>Swimming pool with deck</t>
  </si>
  <si>
    <t>SOA Estimate Based Client Description</t>
  </si>
  <si>
    <t>Cabana with hot tub</t>
  </si>
  <si>
    <t>4 pickleball courts</t>
  </si>
  <si>
    <t>Outdoor cabana with kitchen</t>
  </si>
  <si>
    <t>2 shade cabanas</t>
  </si>
  <si>
    <t>2 bathhouses with laundry</t>
  </si>
  <si>
    <t>Drive-thru RV wash</t>
  </si>
  <si>
    <t>Covered dog wash area</t>
  </si>
  <si>
    <t>Two-story maintenance storage shops</t>
  </si>
  <si>
    <t>Outdoor fun park area</t>
  </si>
  <si>
    <t>1 mile walking trail</t>
  </si>
  <si>
    <t>Total Add. Bldg Improv.</t>
  </si>
  <si>
    <t>&lt;--- Replacement Reserves % is now being set in the Monthly Pro Forma Assumptions, generally 3% starting Year 3, may be higher % up to 5% if lots of frequently replaced items such as Canvas for Safari Tents, etc.</t>
  </si>
  <si>
    <t xml:space="preserve">Personal Property </t>
  </si>
  <si>
    <t>Park Model Cabins</t>
  </si>
  <si>
    <t>??? Aren't we still using the 12.5% of Addl. Bldg. Improv. And 12.5% of Unit Costs to estimate Personal Property $ on the Total Project Cost Tab???</t>
  </si>
  <si>
    <t>FF&amp;E</t>
  </si>
  <si>
    <t>Total Personal Property / FF&amp;E</t>
  </si>
  <si>
    <t>Zook Cabin Pricing:</t>
  </si>
  <si>
    <t>The prices listed below are if someone orders only one Park Model. We do offer discounts for multiples.</t>
  </si>
  <si>
    <t>Here is information and pricing on our RV certified Park Model Cabins. See the pricing and availability below.</t>
  </si>
  <si>
    <t> Please note that the pricing includes all the appliances, mini split heating/cooling unit, and delivery to Salt Lake City, UT.</t>
  </si>
  <si>
    <t>Aspen Park Model – Click here to see this model – Price: $122,300</t>
  </si>
  <si>
    <t>Studio Park Model – Click here to see this model – Price: $103,700</t>
  </si>
  <si>
    <t>Cascade Park Model – Click here to see this cabin – Price: $138,800  </t>
  </si>
  <si>
    <t>Pocono Park Model – Click here to see this cabin – Price: $122,500  </t>
  </si>
  <si>
    <t>Rockwood Park Model – Click here to see this cabin – Price: $159,200  </t>
  </si>
  <si>
    <t>Alpine Park Model – Click here to see this cabin – Price: $147,400</t>
  </si>
  <si>
    <t>A-Frame Park Model – Click here to see this cabin – Price: $155,500  </t>
  </si>
  <si>
    <t>Luna Park Model – Click here to see this cabin – Price: $153,900  </t>
  </si>
  <si>
    <t xml:space="preserve">Please note that all our Park Models / Tiny Homes are RV certified. This means that when you purchase a Park Model, you are technically buying an RV/camper. </t>
  </si>
  <si>
    <t>Each unit comes with a title and VIN.</t>
  </si>
  <si>
    <t xml:space="preserve">Total Project Cost </t>
  </si>
  <si>
    <t xml:space="preserve"> $/Site or  %</t>
  </si>
  <si>
    <t>%</t>
  </si>
  <si>
    <t>Number of Sites (RV &amp; Lodging)</t>
  </si>
  <si>
    <t>&lt;= If no lodging units or glamping units (RV Only), then remove the word 'lodging' from line item label</t>
  </si>
  <si>
    <t>Total Site Development Costs</t>
  </si>
  <si>
    <t>Number of Lodging Units</t>
  </si>
  <si>
    <t>&lt;= If no lodging units or glamping units (RV Only), then zero out and hide the line item</t>
  </si>
  <si>
    <t>Unit Costs (Lodging)</t>
  </si>
  <si>
    <t>Total Additional Building Improvements</t>
  </si>
  <si>
    <t>Total Hard Costs</t>
  </si>
  <si>
    <t>FF&amp;E Addtl. Bldg + Lodging Units</t>
  </si>
  <si>
    <t>Soft Costs (Percentage of Hard Costs)</t>
  </si>
  <si>
    <t>Hard Cost Contingency (Percentage of Hard Costs)</t>
  </si>
  <si>
    <t>Pre-opening Expense</t>
  </si>
  <si>
    <t>Industry Average</t>
  </si>
  <si>
    <t>This can vary</t>
  </si>
  <si>
    <t>&lt;= Pre-opening Expense Estimate: Approximately 2-5% of hard costs give or take based on the complexity of the project.</t>
  </si>
  <si>
    <t>18-Month Interest Reserve</t>
  </si>
  <si>
    <t>This can vary it can also be removed if it is profitable early on</t>
  </si>
  <si>
    <t>Land Acquisition Costs</t>
  </si>
  <si>
    <t>Client Provided Figure</t>
  </si>
  <si>
    <t>Total Development Cost</t>
  </si>
  <si>
    <t>Construction Cost Comparables</t>
  </si>
  <si>
    <t>Location</t>
  </si>
  <si>
    <t>South</t>
  </si>
  <si>
    <t>Southeast</t>
  </si>
  <si>
    <t>Southwest</t>
  </si>
  <si>
    <t>Quality</t>
  </si>
  <si>
    <t>Very High</t>
  </si>
  <si>
    <t>High</t>
  </si>
  <si>
    <t>Standard</t>
  </si>
  <si>
    <t>Amenity Level</t>
  </si>
  <si>
    <t>Cost Year</t>
  </si>
  <si>
    <t>Inflation Adjustment *</t>
  </si>
  <si>
    <t>Total Sites / Units</t>
  </si>
  <si>
    <t># of RV Sites</t>
  </si>
  <si>
    <t># of Lodging Units</t>
  </si>
  <si>
    <t>Phase 1 of Project**</t>
  </si>
  <si>
    <t xml:space="preserve">Total </t>
  </si>
  <si>
    <t>Per Site</t>
  </si>
  <si>
    <t>Total Site Development</t>
  </si>
  <si>
    <t>Tot. Add'l Bldg. Improv.</t>
  </si>
  <si>
    <t>Lodging Unit Costs</t>
  </si>
  <si>
    <t>Soft Costs</t>
  </si>
  <si>
    <t>Hard Cost Contingency</t>
  </si>
  <si>
    <t>Interest Reserve</t>
  </si>
  <si>
    <t>* All costs have been adjusted for inflation to reflect 2025 values.</t>
  </si>
  <si>
    <t xml:space="preserve"> </t>
  </si>
  <si>
    <t xml:space="preserve">** Phase 1 included infrastructure costs for Phase 2. Increasing the development cost per site. </t>
  </si>
  <si>
    <t>NOTE: Lodging Unit Costs - the majority of the comparable RV resorts with lodging unit cost data have very high lodging unit quantities, which tends to lower the cost per unit.</t>
  </si>
  <si>
    <t>Comparable Construction Cost Summary (per Site)</t>
  </si>
  <si>
    <t>% Total Development</t>
  </si>
  <si>
    <t>Min</t>
  </si>
  <si>
    <t>Max</t>
  </si>
  <si>
    <t>Total Hard Cost per Site</t>
  </si>
  <si>
    <t>Total Dev. Cost per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</si>
</sst>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6" formatCode="&quot;$&quot;#,##0_);[Red]\(&quot;$&quot;#,##0\)"/>
    <numFmt numFmtId="44" formatCode="_(&quot;$&quot;* #,##0.00_);_(&quot;$&quot;* \(#,##0.00\);_(&quot;$&quot;* &quot;-&quot;??_);_(@_)"/>
    <numFmt numFmtId="43" formatCode="_(* #,##0.00_);_(* \(#,##0.00\);_(* &quot;-&quot;??_);_(@_)"/>
    <numFmt numFmtId="164" formatCode="&quot;$&quot;#,##0"/>
    <numFmt numFmtId="165" formatCode="_(* #,##0_);_(* \(#,##0\);_(* &quot;-&quot;??_);_(@_)"/>
    <numFmt numFmtId="166" formatCode="_(&quot;$&quot;* #,##0_);_(&quot;$&quot;* \(#,##0\);_(&quot;$&quot;* &quot;-&quot;??_);_(@_)"/>
    <numFmt numFmtId="167" formatCode="0.0%"/>
    <numFmt numFmtId="168" formatCode="&quot;$&quot;#,##0.00"/>
    <numFmt numFmtId="169" formatCode="0.0E+00"/>
  </numFmts>
  <fonts count="27"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4"/>
      <color theme="1"/>
      <name val="Calibri"/>
      <family val="2"/>
    </font>
    <font>
      <b/>
      <sz val="12"/>
      <color theme="1"/>
      <name val="Calibri"/>
      <family val="2"/>
      <scheme val="minor"/>
    </font>
    <font>
      <sz val="12"/>
      <color theme="1"/>
      <name val="Calibri"/>
      <family val="2"/>
      <scheme val="minor"/>
    </font>
    <font>
      <sz val="10"/>
      <color theme="1"/>
      <name val="Calibri"/>
      <family val="2"/>
      <scheme val="minor"/>
    </font>
    <font>
      <b/>
      <sz val="10"/>
      <color theme="1"/>
      <name val="Calibri"/>
      <family val="2"/>
      <scheme val="minor"/>
    </font>
    <font>
      <b/>
      <sz val="10"/>
      <color theme="1"/>
      <name val="Calibri"/>
      <family val="2"/>
    </font>
    <font>
      <sz val="10"/>
      <color theme="1"/>
      <name val="Calibri"/>
      <family val="2"/>
    </font>
    <font>
      <i/>
      <sz val="10"/>
      <color theme="1"/>
      <name val="Calibri"/>
      <family val="2"/>
    </font>
    <font>
      <u/>
      <sz val="11"/>
      <color theme="10"/>
      <name val="Calibri"/>
      <family val="2"/>
      <scheme val="minor"/>
    </font>
    <font>
      <b/>
      <sz val="10"/>
      <color rgb="FF00B0F0"/>
      <name val="Calibri"/>
      <family val="2"/>
    </font>
    <font>
      <sz val="10"/>
      <color rgb="FF222222"/>
      <name val="Calibri"/>
      <family val="2"/>
    </font>
    <font>
      <u/>
      <sz val="10"/>
      <color theme="10"/>
      <name val="Calibri"/>
      <family val="2"/>
    </font>
    <font>
      <sz val="10"/>
      <color rgb="FF00B0F0"/>
      <name val="Calibri"/>
      <family val="2"/>
    </font>
    <font>
      <sz val="11"/>
      <color theme="1"/>
      <name val="Calibri"/>
      <family val="2"/>
    </font>
    <font>
      <b/>
      <sz val="11"/>
      <color theme="1"/>
      <name val="Calibri"/>
      <family val="2"/>
    </font>
    <font>
      <sz val="10"/>
      <name val="Times New Roman"/>
      <family val="1"/>
    </font>
    <font>
      <b/>
      <sz val="10"/>
      <name val="Calibri"/>
      <family val="2"/>
    </font>
    <font>
      <sz val="10"/>
      <name val="Calibri"/>
      <family val="2"/>
    </font>
    <font>
      <i/>
      <sz val="10"/>
      <name val="Calibri"/>
      <family val="2"/>
    </font>
    <font>
      <sz val="10"/>
      <color theme="0"/>
      <name val="Calibri"/>
      <family val="2"/>
    </font>
    <font>
      <b/>
      <i/>
      <sz val="10"/>
      <name val="Calibri"/>
      <family val="2"/>
    </font>
    <font>
      <i/>
      <sz val="11"/>
      <color theme="1"/>
      <name val="Calibri"/>
      <family val="2"/>
    </font>
  </fonts>
  <fills count="1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66FF33"/>
        <bgColor indexed="64"/>
      </patternFill>
    </fill>
    <fill>
      <patternFill patternType="solid">
        <fgColor rgb="FF00B050"/>
        <bgColor indexed="64"/>
      </patternFill>
    </fill>
    <fill>
      <patternFill patternType="solid">
        <fgColor theme="9" tint="0.79998168889431442"/>
        <bgColor rgb="FFD9EAD3"/>
      </patternFill>
    </fill>
    <fill>
      <patternFill patternType="solid">
        <fgColor theme="0"/>
        <bgColor theme="0"/>
      </patternFill>
    </fill>
    <fill>
      <patternFill patternType="solid">
        <fgColor rgb="FFFFFFFF"/>
        <bgColor rgb="FFFFFFFF"/>
      </patternFill>
    </fill>
    <fill>
      <patternFill patternType="solid">
        <fgColor rgb="FFFF0000"/>
        <bgColor indexed="64"/>
      </patternFill>
    </fill>
    <fill>
      <patternFill patternType="solid">
        <fgColor rgb="FFFF0000"/>
        <bgColor theme="0"/>
      </patternFill>
    </fill>
    <fill>
      <patternFill patternType="solid">
        <fgColor rgb="FF00B0F0"/>
        <bgColor theme="0"/>
      </patternFill>
    </fill>
    <fill>
      <patternFill patternType="solid">
        <fgColor theme="9" tint="0.79998168889431442"/>
        <bgColor theme="0"/>
      </patternFill>
    </fill>
    <fill>
      <patternFill patternType="solid">
        <fgColor theme="0"/>
        <bgColor indexed="64"/>
      </patternFill>
    </fill>
    <fill>
      <patternFill patternType="solid">
        <fgColor rgb="FF00B0F0"/>
        <bgColor rgb="FFFFFFFF"/>
      </patternFill>
    </fill>
    <fill>
      <patternFill patternType="solid">
        <fgColor rgb="FF66FF33"/>
        <bgColor theme="0"/>
      </patternFill>
    </fill>
    <fill>
      <patternFill patternType="solid">
        <fgColor rgb="FF00B0F0"/>
        <bgColor indexed="64"/>
      </patternFill>
    </fill>
  </fills>
  <borders count="18">
    <border>
      <left/>
      <right/>
      <top/>
      <bottom/>
      <diagonal/>
    </border>
    <border>
      <left style="thin">
        <color indexed="64"/>
      </left>
      <right style="thin">
        <color indexed="64"/>
      </right>
      <top/>
      <bottom/>
      <diagonal/>
    </border>
    <border>
      <left/>
      <right/>
      <top/>
      <bottom style="thin">
        <color rgb="FF000000"/>
      </bottom>
      <diagonal/>
    </border>
    <border>
      <left/>
      <right/>
      <top/>
      <bottom style="thin">
        <color indexed="64"/>
      </bottom>
      <diagonal/>
    </border>
    <border>
      <left/>
      <right/>
      <top/>
      <bottom style="thin">
        <color theme="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xf numFmtId="0" fontId="1"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cellStyleXfs>
  <cellXfs count="281">
    <xf numFmtId="0" fontId="0" fillId="0" borderId="0" xfId="0"/>
    <xf numFmtId="0" fontId="3" fillId="2" borderId="0" xfId="0" applyFont="1" applyFill="1" applyAlignment="1">
      <alignment horizontal="left" vertical="top"/>
    </xf>
    <xf numFmtId="0" fontId="4" fillId="2" borderId="0" xfId="0" applyFont="1" applyFill="1" applyAlignment="1">
      <alignment horizontal="left" vertical="top"/>
    </xf>
    <xf numFmtId="0" fontId="3" fillId="3" borderId="0" xfId="0" applyFont="1" applyFill="1" applyAlignment="1">
      <alignment horizontal="left" vertical="top"/>
    </xf>
    <xf numFmtId="0" fontId="3" fillId="0" borderId="1" xfId="0" applyFont="1" applyBorder="1" applyAlignment="1">
      <alignment wrapText="1"/>
    </xf>
    <xf numFmtId="0" fontId="4" fillId="0" borderId="0" xfId="0" applyFont="1"/>
    <xf numFmtId="0" fontId="6" fillId="0" borderId="0" xfId="0" applyFont="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0" fillId="0" borderId="1" xfId="0" applyBorder="1" applyAlignment="1">
      <alignment wrapText="1"/>
    </xf>
    <xf numFmtId="0" fontId="1" fillId="0" borderId="0" xfId="0" applyFont="1" applyAlignment="1">
      <alignment horizontal="left" vertical="top"/>
    </xf>
    <xf numFmtId="0" fontId="1" fillId="4" borderId="0" xfId="0" applyFont="1" applyFill="1"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8" fillId="0" borderId="0" xfId="0" applyFont="1"/>
    <xf numFmtId="0" fontId="8" fillId="0" borderId="0" xfId="0" applyFont="1" applyAlignment="1">
      <alignment horizontal="right"/>
    </xf>
    <xf numFmtId="0" fontId="9" fillId="5" borderId="0" xfId="0" applyFont="1" applyFill="1" applyAlignment="1">
      <alignment horizontal="center"/>
    </xf>
    <xf numFmtId="0" fontId="9" fillId="5" borderId="0" xfId="0" applyFont="1" applyFill="1"/>
    <xf numFmtId="0" fontId="8" fillId="5" borderId="0" xfId="0" applyFont="1" applyFill="1"/>
    <xf numFmtId="0" fontId="10" fillId="6" borderId="0" xfId="0" applyFont="1" applyFill="1"/>
    <xf numFmtId="0" fontId="10" fillId="6" borderId="0" xfId="0" applyFont="1" applyFill="1" applyAlignment="1">
      <alignment horizontal="right"/>
    </xf>
    <xf numFmtId="0" fontId="10" fillId="6" borderId="0" xfId="0" applyFont="1" applyFill="1" applyAlignment="1">
      <alignment horizontal="center"/>
    </xf>
    <xf numFmtId="0" fontId="11" fillId="7" borderId="0" xfId="0" applyFont="1" applyFill="1"/>
    <xf numFmtId="0" fontId="9" fillId="8" borderId="0" xfId="0" applyFont="1" applyFill="1" applyAlignment="1">
      <alignment horizontal="center"/>
    </xf>
    <xf numFmtId="0" fontId="12" fillId="7" borderId="0" xfId="0" applyFont="1" applyFill="1"/>
    <xf numFmtId="1" fontId="12" fillId="7" borderId="0" xfId="0" applyNumberFormat="1" applyFont="1" applyFill="1" applyAlignment="1">
      <alignment horizontal="right"/>
    </xf>
    <xf numFmtId="0" fontId="12" fillId="7" borderId="0" xfId="0" applyFont="1" applyFill="1" applyAlignment="1">
      <alignment horizontal="right"/>
    </xf>
    <xf numFmtId="0" fontId="11" fillId="7" borderId="0" xfId="0" applyFont="1" applyFill="1" applyAlignment="1">
      <alignment horizontal="center"/>
    </xf>
    <xf numFmtId="0" fontId="8" fillId="9" borderId="0" xfId="0" applyFont="1" applyFill="1" applyAlignment="1">
      <alignment horizontal="center"/>
    </xf>
    <xf numFmtId="0" fontId="11" fillId="10" borderId="0" xfId="0" applyFont="1" applyFill="1" applyAlignment="1">
      <alignment horizontal="center"/>
    </xf>
    <xf numFmtId="0" fontId="11" fillId="7" borderId="0" xfId="0" applyFont="1" applyFill="1" applyAlignment="1">
      <alignment horizontal="left" vertical="top" wrapText="1"/>
    </xf>
    <xf numFmtId="38" fontId="11" fillId="7" borderId="0" xfId="0" applyNumberFormat="1" applyFont="1" applyFill="1" applyAlignment="1">
      <alignment horizontal="right" vertical="top" wrapText="1"/>
    </xf>
    <xf numFmtId="164" fontId="11" fillId="7" borderId="0" xfId="0" applyNumberFormat="1" applyFont="1" applyFill="1" applyAlignment="1">
      <alignment horizontal="right"/>
    </xf>
    <xf numFmtId="164" fontId="11" fillId="10" borderId="0" xfId="0" applyNumberFormat="1" applyFont="1" applyFill="1" applyAlignment="1">
      <alignment horizontal="right"/>
    </xf>
    <xf numFmtId="5" fontId="8" fillId="9" borderId="0" xfId="0" applyNumberFormat="1" applyFont="1" applyFill="1" applyAlignment="1">
      <alignment horizontal="center"/>
    </xf>
    <xf numFmtId="0" fontId="11" fillId="10" borderId="0" xfId="0" applyFont="1" applyFill="1" applyAlignment="1">
      <alignment horizontal="left" vertical="top" wrapText="1"/>
    </xf>
    <xf numFmtId="0" fontId="11" fillId="7" borderId="0" xfId="0" applyFont="1" applyFill="1" applyAlignment="1">
      <alignment horizontal="right" vertical="top" wrapText="1"/>
    </xf>
    <xf numFmtId="0" fontId="11" fillId="7" borderId="0" xfId="0" applyFont="1" applyFill="1" applyAlignment="1">
      <alignment horizontal="left" vertical="top"/>
    </xf>
    <xf numFmtId="0" fontId="11" fillId="10" borderId="0" xfId="0" applyFont="1" applyFill="1" applyAlignment="1">
      <alignment horizontal="left" vertical="top"/>
    </xf>
    <xf numFmtId="0" fontId="11" fillId="7" borderId="2" xfId="0" applyFont="1" applyFill="1" applyBorder="1" applyAlignment="1">
      <alignment horizontal="left" vertical="top" wrapText="1"/>
    </xf>
    <xf numFmtId="0" fontId="11" fillId="7" borderId="3" xfId="0" applyFont="1" applyFill="1" applyBorder="1" applyAlignment="1">
      <alignment horizontal="right" vertical="top" wrapText="1"/>
    </xf>
    <xf numFmtId="164" fontId="11" fillId="7" borderId="3" xfId="0" applyNumberFormat="1" applyFont="1" applyFill="1" applyBorder="1" applyAlignment="1">
      <alignment horizontal="right"/>
    </xf>
    <xf numFmtId="164" fontId="11" fillId="7" borderId="2" xfId="0" applyNumberFormat="1" applyFont="1" applyFill="1" applyBorder="1" applyAlignment="1">
      <alignment horizontal="right"/>
    </xf>
    <xf numFmtId="0" fontId="11" fillId="7" borderId="3" xfId="0" applyFont="1" applyFill="1" applyBorder="1" applyAlignment="1">
      <alignment horizontal="center"/>
    </xf>
    <xf numFmtId="0" fontId="10" fillId="7" borderId="0" xfId="0" quotePrefix="1" applyFont="1" applyFill="1" applyAlignment="1">
      <alignment horizontal="left" vertical="top" wrapText="1"/>
    </xf>
    <xf numFmtId="6" fontId="10" fillId="7" borderId="0" xfId="0" applyNumberFormat="1" applyFont="1" applyFill="1" applyAlignment="1">
      <alignment horizontal="right" vertical="top" wrapText="1"/>
    </xf>
    <xf numFmtId="164" fontId="10" fillId="7" borderId="0" xfId="0" applyNumberFormat="1" applyFont="1" applyFill="1" applyAlignment="1">
      <alignment horizontal="right"/>
    </xf>
    <xf numFmtId="0" fontId="11" fillId="10" borderId="0" xfId="0" applyFont="1" applyFill="1"/>
    <xf numFmtId="0" fontId="8" fillId="0" borderId="0" xfId="0" applyFont="1" applyAlignment="1">
      <alignment horizontal="center"/>
    </xf>
    <xf numFmtId="5" fontId="8" fillId="9" borderId="0" xfId="0" applyNumberFormat="1" applyFont="1" applyFill="1"/>
    <xf numFmtId="0" fontId="8" fillId="9" borderId="0" xfId="0" applyFont="1" applyFill="1"/>
    <xf numFmtId="0" fontId="10" fillId="7" borderId="0" xfId="0" applyFont="1" applyFill="1"/>
    <xf numFmtId="0" fontId="10" fillId="7" borderId="0" xfId="0" applyFont="1" applyFill="1" applyAlignment="1">
      <alignment horizontal="center"/>
    </xf>
    <xf numFmtId="0" fontId="10" fillId="7" borderId="0" xfId="0" applyFont="1" applyFill="1" applyAlignment="1">
      <alignment horizontal="center"/>
    </xf>
    <xf numFmtId="0" fontId="2" fillId="0" borderId="0" xfId="0" applyFont="1" applyAlignment="1">
      <alignment horizontal="center"/>
    </xf>
    <xf numFmtId="0" fontId="11" fillId="7" borderId="0" xfId="0" quotePrefix="1" applyFont="1" applyFill="1" applyAlignment="1">
      <alignment horizontal="left" vertical="top" wrapText="1"/>
    </xf>
    <xf numFmtId="0" fontId="11" fillId="11" borderId="0" xfId="0" applyFont="1" applyFill="1" applyAlignment="1">
      <alignment horizontal="right" vertical="top" wrapText="1"/>
    </xf>
    <xf numFmtId="2" fontId="11" fillId="7" borderId="0" xfId="0" applyNumberFormat="1" applyFont="1" applyFill="1" applyAlignment="1">
      <alignment horizontal="right"/>
    </xf>
    <xf numFmtId="165" fontId="11" fillId="7" borderId="0" xfId="1" applyNumberFormat="1" applyFont="1" applyFill="1" applyBorder="1" applyAlignment="1">
      <alignment horizontal="right" vertical="top" wrapText="1"/>
    </xf>
    <xf numFmtId="0" fontId="11" fillId="7" borderId="4" xfId="0" applyFont="1" applyFill="1" applyBorder="1" applyAlignment="1">
      <alignment horizontal="left" vertical="top" wrapText="1"/>
    </xf>
    <xf numFmtId="165" fontId="11" fillId="7" borderId="4" xfId="1" applyNumberFormat="1" applyFont="1" applyFill="1" applyBorder="1" applyAlignment="1">
      <alignment horizontal="right" vertical="top" wrapText="1"/>
    </xf>
    <xf numFmtId="2" fontId="11" fillId="7" borderId="4" xfId="0" applyNumberFormat="1" applyFont="1" applyFill="1" applyBorder="1" applyAlignment="1">
      <alignment horizontal="right"/>
    </xf>
    <xf numFmtId="0" fontId="11" fillId="7" borderId="4" xfId="0" applyFont="1" applyFill="1" applyBorder="1" applyAlignment="1">
      <alignment horizontal="center"/>
    </xf>
    <xf numFmtId="0" fontId="10" fillId="7" borderId="0" xfId="0" applyFont="1" applyFill="1" applyAlignment="1">
      <alignment horizontal="left" vertical="top" wrapText="1"/>
    </xf>
    <xf numFmtId="0" fontId="10" fillId="7" borderId="0" xfId="0" applyFont="1" applyFill="1" applyAlignment="1">
      <alignment horizontal="right" vertical="top" wrapText="1"/>
    </xf>
    <xf numFmtId="2" fontId="10" fillId="7" borderId="0" xfId="1" applyNumberFormat="1" applyFont="1" applyFill="1" applyAlignment="1">
      <alignment horizontal="right"/>
    </xf>
    <xf numFmtId="2" fontId="10" fillId="7" borderId="0" xfId="0" applyNumberFormat="1" applyFont="1" applyFill="1" applyAlignment="1">
      <alignment horizontal="right"/>
    </xf>
    <xf numFmtId="43" fontId="11" fillId="7" borderId="0" xfId="0" applyNumberFormat="1" applyFont="1" applyFill="1" applyAlignment="1">
      <alignment horizontal="right"/>
    </xf>
    <xf numFmtId="0" fontId="11" fillId="7" borderId="0" xfId="0" applyFont="1" applyFill="1" applyAlignment="1">
      <alignment horizontal="right"/>
    </xf>
    <xf numFmtId="0" fontId="10" fillId="7" borderId="0" xfId="0" applyFont="1" applyFill="1" applyAlignment="1">
      <alignment horizontal="right"/>
    </xf>
    <xf numFmtId="0" fontId="11" fillId="7" borderId="2" xfId="0" applyFont="1" applyFill="1" applyBorder="1" applyAlignment="1">
      <alignment horizontal="right" vertical="top" wrapText="1"/>
    </xf>
    <xf numFmtId="0" fontId="11" fillId="7" borderId="5" xfId="0" applyFont="1" applyFill="1" applyBorder="1" applyAlignment="1">
      <alignment horizontal="center"/>
    </xf>
    <xf numFmtId="0" fontId="10" fillId="12" borderId="0" xfId="0" applyFont="1" applyFill="1"/>
    <xf numFmtId="0" fontId="10" fillId="12" borderId="0" xfId="0" applyFont="1" applyFill="1" applyAlignment="1">
      <alignment horizontal="right"/>
    </xf>
    <xf numFmtId="164" fontId="10" fillId="12" borderId="0" xfId="0" applyNumberFormat="1" applyFont="1" applyFill="1" applyAlignment="1">
      <alignment horizontal="right"/>
    </xf>
    <xf numFmtId="0" fontId="10" fillId="12" borderId="0" xfId="0" applyFont="1" applyFill="1" applyAlignment="1">
      <alignment horizontal="center"/>
    </xf>
    <xf numFmtId="0" fontId="11" fillId="7" borderId="0" xfId="0" applyFont="1" applyFill="1" applyAlignment="1">
      <alignment vertical="center"/>
    </xf>
    <xf numFmtId="0" fontId="11" fillId="7" borderId="0" xfId="0" applyFont="1" applyFill="1" applyAlignment="1">
      <alignment horizontal="right" vertical="center"/>
    </xf>
    <xf numFmtId="164" fontId="11" fillId="11" borderId="0" xfId="0" applyNumberFormat="1" applyFont="1" applyFill="1" applyAlignment="1">
      <alignment horizontal="right" vertical="center"/>
    </xf>
    <xf numFmtId="164" fontId="8" fillId="13" borderId="0" xfId="2" applyNumberFormat="1" applyFont="1" applyFill="1" applyAlignment="1">
      <alignment horizontal="right" vertical="center"/>
    </xf>
    <xf numFmtId="0" fontId="11" fillId="7" borderId="0" xfId="0" applyFont="1" applyFill="1" applyAlignment="1">
      <alignment horizontal="center" vertical="center" wrapText="1"/>
    </xf>
    <xf numFmtId="164" fontId="11" fillId="14" borderId="0" xfId="0" applyNumberFormat="1" applyFont="1" applyFill="1" applyAlignment="1">
      <alignment horizontal="right"/>
    </xf>
    <xf numFmtId="164" fontId="8" fillId="13" borderId="0" xfId="2" applyNumberFormat="1" applyFont="1" applyFill="1" applyAlignment="1">
      <alignment horizontal="right"/>
    </xf>
    <xf numFmtId="0" fontId="11" fillId="7" borderId="3" xfId="0" applyFont="1" applyFill="1" applyBorder="1"/>
    <xf numFmtId="0" fontId="11" fillId="7" borderId="3" xfId="0" applyFont="1" applyFill="1" applyBorder="1" applyAlignment="1">
      <alignment horizontal="right"/>
    </xf>
    <xf numFmtId="164" fontId="11" fillId="14" borderId="3" xfId="0" applyNumberFormat="1" applyFont="1" applyFill="1" applyBorder="1" applyAlignment="1">
      <alignment horizontal="right"/>
    </xf>
    <xf numFmtId="164" fontId="8" fillId="13" borderId="3" xfId="2" applyNumberFormat="1" applyFont="1" applyFill="1" applyBorder="1" applyAlignment="1">
      <alignment horizontal="right"/>
    </xf>
    <xf numFmtId="164" fontId="8" fillId="0" borderId="0" xfId="0" applyNumberFormat="1" applyFont="1" applyAlignment="1">
      <alignment horizontal="right"/>
    </xf>
    <xf numFmtId="164" fontId="9" fillId="13" borderId="0" xfId="2" applyNumberFormat="1" applyFont="1" applyFill="1" applyBorder="1" applyAlignment="1">
      <alignment horizontal="right"/>
    </xf>
    <xf numFmtId="164" fontId="8" fillId="0" borderId="3" xfId="0" applyNumberFormat="1" applyFont="1" applyBorder="1" applyAlignment="1">
      <alignment horizontal="right"/>
    </xf>
    <xf numFmtId="0" fontId="9" fillId="0" borderId="0" xfId="0" applyFont="1" applyAlignment="1">
      <alignment horizontal="right"/>
    </xf>
    <xf numFmtId="0" fontId="11" fillId="0" borderId="0" xfId="0" applyFont="1" applyAlignment="1">
      <alignment horizontal="left"/>
    </xf>
    <xf numFmtId="0" fontId="10" fillId="0" borderId="0" xfId="0" applyFont="1" applyAlignment="1">
      <alignment horizontal="right"/>
    </xf>
    <xf numFmtId="166" fontId="8" fillId="13" borderId="0" xfId="2" applyNumberFormat="1" applyFont="1" applyFill="1" applyBorder="1" applyAlignment="1">
      <alignment horizontal="right"/>
    </xf>
    <xf numFmtId="0" fontId="11" fillId="0" borderId="0" xfId="0" applyFont="1" applyAlignment="1">
      <alignment wrapText="1"/>
    </xf>
    <xf numFmtId="0" fontId="11" fillId="0" borderId="0" xfId="0" applyFont="1" applyAlignment="1">
      <alignment horizontal="right"/>
    </xf>
    <xf numFmtId="164" fontId="11" fillId="0" borderId="0" xfId="0" applyNumberFormat="1" applyFont="1" applyAlignment="1">
      <alignment horizontal="right"/>
    </xf>
    <xf numFmtId="166" fontId="8" fillId="0" borderId="0" xfId="2" applyNumberFormat="1" applyFont="1" applyFill="1" applyBorder="1" applyAlignment="1">
      <alignment horizontal="right"/>
    </xf>
    <xf numFmtId="0" fontId="11" fillId="0" borderId="0" xfId="0" applyFont="1" applyAlignment="1">
      <alignment horizontal="center"/>
    </xf>
    <xf numFmtId="0" fontId="10" fillId="0" borderId="0" xfId="0" applyFont="1" applyAlignment="1">
      <alignment horizontal="center"/>
    </xf>
    <xf numFmtId="0" fontId="8" fillId="0" borderId="0" xfId="0" applyFont="1"/>
    <xf numFmtId="164" fontId="10" fillId="6" borderId="0" xfId="0" applyNumberFormat="1" applyFont="1" applyFill="1" applyAlignment="1">
      <alignment horizontal="right"/>
    </xf>
    <xf numFmtId="3" fontId="8" fillId="13" borderId="0" xfId="0" applyNumberFormat="1" applyFont="1" applyFill="1" applyAlignment="1">
      <alignment horizontal="right"/>
    </xf>
    <xf numFmtId="164" fontId="11" fillId="7" borderId="0" xfId="2" applyNumberFormat="1" applyFont="1" applyFill="1" applyAlignment="1">
      <alignment horizontal="right"/>
    </xf>
    <xf numFmtId="0" fontId="11" fillId="0" borderId="0" xfId="0" applyFont="1"/>
    <xf numFmtId="3" fontId="8" fillId="0" borderId="0" xfId="0" applyNumberFormat="1" applyFont="1" applyAlignment="1">
      <alignment horizontal="right"/>
    </xf>
    <xf numFmtId="164" fontId="8" fillId="0" borderId="0" xfId="2" applyNumberFormat="1" applyFont="1" applyFill="1" applyAlignment="1">
      <alignment horizontal="right"/>
    </xf>
    <xf numFmtId="164" fontId="11" fillId="0" borderId="0" xfId="2" applyNumberFormat="1" applyFont="1" applyFill="1" applyAlignment="1">
      <alignment horizontal="right"/>
    </xf>
    <xf numFmtId="0" fontId="10" fillId="0" borderId="5" xfId="0" applyFont="1" applyBorder="1"/>
    <xf numFmtId="164" fontId="10" fillId="0" borderId="5" xfId="0" applyNumberFormat="1" applyFont="1" applyBorder="1" applyAlignment="1">
      <alignment horizontal="right"/>
    </xf>
    <xf numFmtId="164" fontId="10" fillId="0" borderId="5" xfId="2" applyNumberFormat="1" applyFont="1" applyFill="1" applyBorder="1" applyAlignment="1">
      <alignment horizontal="right"/>
    </xf>
    <xf numFmtId="0" fontId="11" fillId="0" borderId="5" xfId="0" applyFont="1" applyBorder="1" applyAlignment="1">
      <alignment horizontal="right"/>
    </xf>
    <xf numFmtId="165" fontId="8" fillId="0" borderId="0" xfId="1" applyNumberFormat="1" applyFont="1" applyFill="1" applyAlignment="1">
      <alignment horizontal="right"/>
    </xf>
    <xf numFmtId="164" fontId="14" fillId="0" borderId="0" xfId="0" applyNumberFormat="1" applyFont="1"/>
    <xf numFmtId="164" fontId="14" fillId="7" borderId="0" xfId="0" applyNumberFormat="1" applyFont="1" applyFill="1"/>
    <xf numFmtId="0" fontId="9" fillId="6" borderId="0" xfId="0" applyFont="1" applyFill="1" applyAlignment="1">
      <alignment horizontal="center"/>
    </xf>
    <xf numFmtId="164" fontId="10" fillId="6" borderId="0" xfId="0" applyNumberFormat="1" applyFont="1" applyFill="1" applyAlignment="1">
      <alignment horizontal="center"/>
    </xf>
    <xf numFmtId="0" fontId="10" fillId="0" borderId="0" xfId="0" applyFont="1" applyAlignment="1">
      <alignment horizontal="center"/>
    </xf>
    <xf numFmtId="5" fontId="11" fillId="7" borderId="0" xfId="0" applyNumberFormat="1" applyFont="1" applyFill="1"/>
    <xf numFmtId="0" fontId="10" fillId="15" borderId="0" xfId="0" applyFont="1" applyFill="1"/>
    <xf numFmtId="0" fontId="11" fillId="15" borderId="0" xfId="0" applyFont="1" applyFill="1"/>
    <xf numFmtId="0" fontId="8" fillId="4" borderId="0" xfId="0" applyFont="1" applyFill="1"/>
    <xf numFmtId="5" fontId="11" fillId="7" borderId="3" xfId="0" applyNumberFormat="1" applyFont="1" applyFill="1" applyBorder="1"/>
    <xf numFmtId="0" fontId="15" fillId="0" borderId="0" xfId="0" applyFont="1" applyAlignment="1">
      <alignment vertical="center"/>
    </xf>
    <xf numFmtId="0" fontId="16" fillId="0" borderId="0" xfId="4" applyFont="1" applyAlignment="1">
      <alignment horizontal="left" vertical="center"/>
    </xf>
    <xf numFmtId="0" fontId="9" fillId="6" borderId="0" xfId="0" applyFont="1" applyFill="1" applyAlignment="1">
      <alignment horizontal="right"/>
    </xf>
    <xf numFmtId="0" fontId="8" fillId="16" borderId="0" xfId="0" applyFont="1" applyFill="1"/>
    <xf numFmtId="38" fontId="8" fillId="0" borderId="0" xfId="0" applyNumberFormat="1" applyFont="1"/>
    <xf numFmtId="164" fontId="17" fillId="7" borderId="0" xfId="0" applyNumberFormat="1" applyFont="1" applyFill="1"/>
    <xf numFmtId="9" fontId="8" fillId="0" borderId="0" xfId="3" applyFont="1" applyAlignment="1">
      <alignment horizontal="right"/>
    </xf>
    <xf numFmtId="164" fontId="11" fillId="7" borderId="0" xfId="0" applyNumberFormat="1" applyFont="1" applyFill="1"/>
    <xf numFmtId="1" fontId="8" fillId="16" borderId="0" xfId="0" applyNumberFormat="1" applyFont="1" applyFill="1" applyAlignment="1">
      <alignment horizontal="right"/>
    </xf>
    <xf numFmtId="164" fontId="8" fillId="16" borderId="0" xfId="0" applyNumberFormat="1" applyFont="1" applyFill="1" applyAlignment="1">
      <alignment horizontal="right"/>
    </xf>
    <xf numFmtId="9" fontId="8" fillId="0" borderId="0" xfId="3" applyFont="1" applyBorder="1" applyAlignment="1">
      <alignment horizontal="right"/>
    </xf>
    <xf numFmtId="0" fontId="8" fillId="0" borderId="2" xfId="0" applyFont="1" applyBorder="1"/>
    <xf numFmtId="164" fontId="8" fillId="0" borderId="2" xfId="0" applyNumberFormat="1" applyFont="1" applyBorder="1" applyAlignment="1">
      <alignment horizontal="right"/>
    </xf>
    <xf numFmtId="9" fontId="8" fillId="0" borderId="2" xfId="3" applyFont="1" applyBorder="1" applyAlignment="1">
      <alignment horizontal="right"/>
    </xf>
    <xf numFmtId="9" fontId="10" fillId="7" borderId="0" xfId="3" applyFont="1" applyFill="1" applyAlignment="1">
      <alignment horizontal="right"/>
    </xf>
    <xf numFmtId="167" fontId="11" fillId="11" borderId="0" xfId="3" applyNumberFormat="1" applyFont="1" applyFill="1" applyAlignment="1">
      <alignment horizontal="right"/>
    </xf>
    <xf numFmtId="9" fontId="11" fillId="7" borderId="0" xfId="3" applyFont="1" applyFill="1" applyAlignment="1">
      <alignment horizontal="right"/>
    </xf>
    <xf numFmtId="0" fontId="9" fillId="0" borderId="0" xfId="0" applyFont="1"/>
    <xf numFmtId="167" fontId="11" fillId="11" borderId="0" xfId="0" applyNumberFormat="1" applyFont="1" applyFill="1" applyAlignment="1">
      <alignment horizontal="right"/>
    </xf>
    <xf numFmtId="164" fontId="11" fillId="11" borderId="0" xfId="0" applyNumberFormat="1" applyFont="1" applyFill="1" applyAlignment="1">
      <alignment horizontal="right"/>
    </xf>
    <xf numFmtId="0" fontId="8" fillId="3" borderId="0" xfId="0" applyFont="1" applyFill="1"/>
    <xf numFmtId="0" fontId="17" fillId="0" borderId="0" xfId="0" applyFont="1"/>
    <xf numFmtId="167" fontId="11" fillId="7" borderId="0" xfId="0" applyNumberFormat="1" applyFont="1" applyFill="1" applyAlignment="1">
      <alignment horizontal="right"/>
    </xf>
    <xf numFmtId="0" fontId="8" fillId="0" borderId="4" xfId="0" applyFont="1" applyBorder="1"/>
    <xf numFmtId="164" fontId="8" fillId="13" borderId="4" xfId="0" applyNumberFormat="1" applyFont="1" applyFill="1" applyBorder="1" applyAlignment="1">
      <alignment horizontal="right"/>
    </xf>
    <xf numFmtId="9" fontId="11" fillId="7" borderId="3" xfId="3" applyFont="1" applyFill="1" applyBorder="1" applyAlignment="1">
      <alignment horizontal="right"/>
    </xf>
    <xf numFmtId="0" fontId="8" fillId="0" borderId="4" xfId="0" applyFont="1" applyBorder="1" applyAlignment="1">
      <alignment horizontal="center"/>
    </xf>
    <xf numFmtId="164" fontId="10" fillId="13" borderId="0" xfId="0" applyNumberFormat="1" applyFont="1" applyFill="1" applyAlignment="1">
      <alignment horizontal="right"/>
    </xf>
    <xf numFmtId="9" fontId="10" fillId="13" borderId="0" xfId="3" applyFont="1" applyFill="1" applyAlignment="1">
      <alignment horizontal="right"/>
    </xf>
    <xf numFmtId="0" fontId="18" fillId="0" borderId="0" xfId="5" applyFont="1"/>
    <xf numFmtId="164" fontId="19" fillId="6" borderId="6" xfId="5" applyNumberFormat="1" applyFont="1" applyFill="1" applyBorder="1" applyAlignment="1">
      <alignment horizontal="center" vertical="center"/>
    </xf>
    <xf numFmtId="164" fontId="19" fillId="6" borderId="7" xfId="5" applyNumberFormat="1" applyFont="1" applyFill="1" applyBorder="1" applyAlignment="1">
      <alignment horizontal="center" vertical="center"/>
    </xf>
    <xf numFmtId="164" fontId="19" fillId="6" borderId="8" xfId="5" applyNumberFormat="1" applyFont="1" applyFill="1" applyBorder="1" applyAlignment="1">
      <alignment horizontal="center" vertical="center"/>
    </xf>
    <xf numFmtId="0" fontId="21" fillId="0" borderId="9" xfId="6" applyFont="1" applyBorder="1"/>
    <xf numFmtId="0" fontId="22" fillId="0" borderId="10" xfId="6" applyFont="1" applyBorder="1"/>
    <xf numFmtId="0" fontId="21" fillId="0" borderId="9" xfId="6" applyFont="1" applyBorder="1" applyAlignment="1">
      <alignment horizontal="center"/>
    </xf>
    <xf numFmtId="0" fontId="21" fillId="0" borderId="5" xfId="6" applyFont="1" applyBorder="1" applyAlignment="1">
      <alignment horizontal="center"/>
    </xf>
    <xf numFmtId="0" fontId="21" fillId="0" borderId="10" xfId="6" applyFont="1" applyBorder="1" applyAlignment="1">
      <alignment horizontal="center"/>
    </xf>
    <xf numFmtId="0" fontId="21" fillId="0" borderId="11" xfId="6" applyFont="1" applyBorder="1"/>
    <xf numFmtId="0" fontId="22" fillId="0" borderId="12" xfId="6" applyFont="1" applyBorder="1"/>
    <xf numFmtId="1" fontId="21" fillId="0" borderId="11" xfId="6" applyNumberFormat="1" applyFont="1" applyBorder="1" applyAlignment="1">
      <alignment horizontal="center"/>
    </xf>
    <xf numFmtId="1" fontId="21" fillId="0" borderId="0" xfId="6" applyNumberFormat="1" applyFont="1"/>
    <xf numFmtId="1" fontId="21" fillId="0" borderId="0" xfId="6" applyNumberFormat="1" applyFont="1" applyAlignment="1">
      <alignment horizontal="center"/>
    </xf>
    <xf numFmtId="1" fontId="21" fillId="0" borderId="12" xfId="6" applyNumberFormat="1" applyFont="1" applyBorder="1" applyAlignment="1">
      <alignment horizontal="center"/>
    </xf>
    <xf numFmtId="0" fontId="21" fillId="0" borderId="11" xfId="6" applyFont="1" applyBorder="1" applyAlignment="1">
      <alignment horizontal="left"/>
    </xf>
    <xf numFmtId="0" fontId="21" fillId="0" borderId="12" xfId="6" applyFont="1" applyBorder="1"/>
    <xf numFmtId="168" fontId="21" fillId="0" borderId="11" xfId="7" applyNumberFormat="1" applyFont="1" applyBorder="1" applyAlignment="1">
      <alignment horizontal="center"/>
    </xf>
    <xf numFmtId="168" fontId="21" fillId="0" borderId="0" xfId="7" applyNumberFormat="1" applyFont="1" applyBorder="1" applyAlignment="1">
      <alignment horizontal="right"/>
    </xf>
    <xf numFmtId="168" fontId="21" fillId="0" borderId="0" xfId="7" applyNumberFormat="1" applyFont="1" applyBorder="1" applyAlignment="1">
      <alignment horizontal="center"/>
    </xf>
    <xf numFmtId="168" fontId="21" fillId="0" borderId="12" xfId="7" applyNumberFormat="1" applyFont="1" applyBorder="1" applyAlignment="1">
      <alignment horizontal="center"/>
    </xf>
    <xf numFmtId="169" fontId="18" fillId="0" borderId="0" xfId="5" applyNumberFormat="1" applyFont="1"/>
    <xf numFmtId="0" fontId="21" fillId="0" borderId="11" xfId="8" quotePrefix="1" applyNumberFormat="1" applyFont="1" applyBorder="1" applyAlignment="1">
      <alignment horizontal="center"/>
    </xf>
    <xf numFmtId="165" fontId="21" fillId="0" borderId="0" xfId="7" applyNumberFormat="1" applyFont="1" applyBorder="1"/>
    <xf numFmtId="165" fontId="22" fillId="0" borderId="0" xfId="7" applyNumberFormat="1" applyFont="1" applyBorder="1"/>
    <xf numFmtId="0" fontId="21" fillId="0" borderId="0" xfId="8" quotePrefix="1" applyNumberFormat="1" applyFont="1" applyBorder="1" applyAlignment="1">
      <alignment horizontal="center"/>
    </xf>
    <xf numFmtId="0" fontId="21" fillId="0" borderId="12" xfId="8" quotePrefix="1" applyNumberFormat="1" applyFont="1" applyBorder="1" applyAlignment="1">
      <alignment horizontal="center"/>
    </xf>
    <xf numFmtId="0" fontId="21" fillId="0" borderId="11" xfId="8" quotePrefix="1" applyNumberFormat="1" applyFont="1" applyFill="1" applyBorder="1" applyAlignment="1">
      <alignment horizontal="center"/>
    </xf>
    <xf numFmtId="0" fontId="21" fillId="13" borderId="11" xfId="8" quotePrefix="1" applyNumberFormat="1" applyFont="1" applyFill="1" applyBorder="1" applyAlignment="1">
      <alignment horizontal="center" vertical="center"/>
    </xf>
    <xf numFmtId="0" fontId="21" fillId="0" borderId="0" xfId="8" quotePrefix="1" applyNumberFormat="1" applyFont="1" applyBorder="1" applyAlignment="1">
      <alignment horizontal="center" vertical="center"/>
    </xf>
    <xf numFmtId="0" fontId="21" fillId="0" borderId="11" xfId="8" quotePrefix="1" applyNumberFormat="1" applyFont="1" applyBorder="1" applyAlignment="1">
      <alignment horizontal="center" vertical="center"/>
    </xf>
    <xf numFmtId="0" fontId="21" fillId="0" borderId="12" xfId="8" quotePrefix="1" applyNumberFormat="1" applyFont="1" applyBorder="1" applyAlignment="1">
      <alignment horizontal="center" vertical="center"/>
    </xf>
    <xf numFmtId="10" fontId="21" fillId="0" borderId="11" xfId="8" quotePrefix="1" applyNumberFormat="1" applyFont="1" applyFill="1" applyBorder="1" applyAlignment="1">
      <alignment horizontal="center" vertical="center"/>
    </xf>
    <xf numFmtId="0" fontId="21" fillId="0" borderId="0" xfId="8" quotePrefix="1" applyNumberFormat="1" applyFont="1" applyFill="1" applyBorder="1" applyAlignment="1">
      <alignment horizontal="center" vertical="center"/>
    </xf>
    <xf numFmtId="165" fontId="22" fillId="0" borderId="0" xfId="7" applyNumberFormat="1" applyFont="1" applyFill="1" applyBorder="1"/>
    <xf numFmtId="0" fontId="21" fillId="0" borderId="0" xfId="8" quotePrefix="1" applyNumberFormat="1" applyFont="1" applyFill="1" applyBorder="1" applyAlignment="1">
      <alignment horizontal="center"/>
    </xf>
    <xf numFmtId="10" fontId="21" fillId="0" borderId="11" xfId="6" applyNumberFormat="1" applyFont="1" applyBorder="1" applyAlignment="1">
      <alignment horizontal="center"/>
    </xf>
    <xf numFmtId="165" fontId="21" fillId="0" borderId="0" xfId="7" applyNumberFormat="1" applyFont="1" applyFill="1" applyBorder="1"/>
    <xf numFmtId="2" fontId="21" fillId="0" borderId="0" xfId="7" applyNumberFormat="1" applyFont="1" applyFill="1" applyBorder="1"/>
    <xf numFmtId="0" fontId="21" fillId="0" borderId="0" xfId="6" applyFont="1" applyAlignment="1">
      <alignment horizontal="center"/>
    </xf>
    <xf numFmtId="0" fontId="21" fillId="0" borderId="12" xfId="6" applyFont="1" applyBorder="1" applyAlignment="1">
      <alignment horizontal="center"/>
    </xf>
    <xf numFmtId="0" fontId="21" fillId="0" borderId="11" xfId="6" applyFont="1" applyBorder="1" applyAlignment="1">
      <alignment horizontal="center"/>
    </xf>
    <xf numFmtId="37" fontId="21" fillId="0" borderId="11" xfId="6" applyNumberFormat="1" applyFont="1" applyBorder="1" applyAlignment="1">
      <alignment horizontal="left"/>
    </xf>
    <xf numFmtId="0" fontId="21" fillId="0" borderId="13" xfId="6" applyFont="1" applyBorder="1"/>
    <xf numFmtId="165" fontId="21" fillId="0" borderId="14" xfId="7" applyNumberFormat="1" applyFont="1" applyBorder="1" applyAlignment="1">
      <alignment horizontal="center"/>
    </xf>
    <xf numFmtId="165" fontId="21" fillId="0" borderId="3" xfId="7" applyNumberFormat="1" applyFont="1" applyBorder="1"/>
    <xf numFmtId="165" fontId="21" fillId="0" borderId="11" xfId="7" applyNumberFormat="1" applyFont="1" applyBorder="1" applyAlignment="1">
      <alignment horizontal="center"/>
    </xf>
    <xf numFmtId="165" fontId="22" fillId="0" borderId="14" xfId="7" applyNumberFormat="1" applyFont="1" applyBorder="1" applyAlignment="1">
      <alignment horizontal="left"/>
    </xf>
    <xf numFmtId="165" fontId="21" fillId="0" borderId="3" xfId="7" applyNumberFormat="1" applyFont="1" applyBorder="1" applyAlignment="1">
      <alignment horizontal="center"/>
    </xf>
    <xf numFmtId="165" fontId="21" fillId="0" borderId="13" xfId="7" applyNumberFormat="1" applyFont="1" applyBorder="1" applyAlignment="1">
      <alignment horizontal="center"/>
    </xf>
    <xf numFmtId="0" fontId="19" fillId="6" borderId="6" xfId="5" applyFont="1" applyFill="1" applyBorder="1"/>
    <xf numFmtId="0" fontId="10" fillId="6" borderId="8" xfId="5" applyFont="1" applyFill="1" applyBorder="1"/>
    <xf numFmtId="0" fontId="10" fillId="6" borderId="6" xfId="5" applyFont="1" applyFill="1" applyBorder="1" applyAlignment="1">
      <alignment horizontal="center"/>
    </xf>
    <xf numFmtId="0" fontId="10" fillId="6" borderId="7" xfId="5" applyFont="1" applyFill="1" applyBorder="1" applyAlignment="1">
      <alignment horizontal="center"/>
    </xf>
    <xf numFmtId="0" fontId="10" fillId="6" borderId="8" xfId="5" applyFont="1" applyFill="1" applyBorder="1" applyAlignment="1">
      <alignment horizontal="center"/>
    </xf>
    <xf numFmtId="0" fontId="18" fillId="0" borderId="11" xfId="5" applyFont="1" applyBorder="1"/>
    <xf numFmtId="0" fontId="11" fillId="0" borderId="12" xfId="5" applyFont="1" applyBorder="1"/>
    <xf numFmtId="164" fontId="22" fillId="0" borderId="11" xfId="6" applyNumberFormat="1" applyFont="1" applyBorder="1"/>
    <xf numFmtId="164" fontId="22" fillId="0" borderId="0" xfId="6" applyNumberFormat="1" applyFont="1"/>
    <xf numFmtId="9" fontId="23" fillId="0" borderId="10" xfId="9" applyFont="1" applyBorder="1"/>
    <xf numFmtId="9" fontId="22" fillId="0" borderId="12" xfId="9" applyFont="1" applyBorder="1"/>
    <xf numFmtId="0" fontId="11" fillId="0" borderId="12" xfId="5" applyFont="1" applyBorder="1" applyAlignment="1">
      <alignment vertical="center" wrapText="1"/>
    </xf>
    <xf numFmtId="164" fontId="22" fillId="0" borderId="11" xfId="6" applyNumberFormat="1" applyFont="1" applyBorder="1" applyAlignment="1">
      <alignment vertical="center"/>
    </xf>
    <xf numFmtId="164" fontId="22" fillId="0" borderId="0" xfId="6" applyNumberFormat="1" applyFont="1" applyAlignment="1">
      <alignment vertical="center"/>
    </xf>
    <xf numFmtId="9" fontId="23" fillId="0" borderId="12" xfId="9" applyFont="1" applyBorder="1" applyAlignment="1">
      <alignment vertical="center"/>
    </xf>
    <xf numFmtId="9" fontId="22" fillId="0" borderId="12" xfId="9" applyFont="1" applyBorder="1" applyAlignment="1">
      <alignment vertical="center"/>
    </xf>
    <xf numFmtId="0" fontId="18" fillId="0" borderId="14" xfId="5" applyFont="1" applyBorder="1"/>
    <xf numFmtId="0" fontId="11" fillId="0" borderId="12" xfId="5" applyFont="1" applyBorder="1" applyAlignment="1">
      <alignment wrapText="1"/>
    </xf>
    <xf numFmtId="164" fontId="24" fillId="0" borderId="11" xfId="6" applyNumberFormat="1" applyFont="1" applyBorder="1"/>
    <xf numFmtId="164" fontId="24" fillId="0" borderId="0" xfId="6" applyNumberFormat="1" applyFont="1"/>
    <xf numFmtId="0" fontId="10" fillId="7" borderId="10" xfId="5" applyFont="1" applyFill="1" applyBorder="1"/>
    <xf numFmtId="164" fontId="21" fillId="0" borderId="9" xfId="6" applyNumberFormat="1" applyFont="1" applyBorder="1"/>
    <xf numFmtId="164" fontId="21" fillId="0" borderId="5" xfId="6" applyNumberFormat="1" applyFont="1" applyBorder="1"/>
    <xf numFmtId="9" fontId="21" fillId="0" borderId="10" xfId="9" applyFont="1" applyBorder="1"/>
    <xf numFmtId="164" fontId="18" fillId="0" borderId="0" xfId="5" applyNumberFormat="1" applyFont="1"/>
    <xf numFmtId="168" fontId="18" fillId="0" borderId="0" xfId="5" applyNumberFormat="1" applyFont="1"/>
    <xf numFmtId="0" fontId="11" fillId="7" borderId="12" xfId="5" applyFont="1" applyFill="1" applyBorder="1"/>
    <xf numFmtId="167" fontId="22" fillId="0" borderId="12" xfId="9" applyNumberFormat="1" applyFont="1" applyBorder="1"/>
    <xf numFmtId="9" fontId="22" fillId="0" borderId="13" xfId="9" applyFont="1" applyBorder="1"/>
    <xf numFmtId="0" fontId="10" fillId="7" borderId="10" xfId="5" applyFont="1" applyFill="1" applyBorder="1" applyAlignment="1">
      <alignment vertical="center"/>
    </xf>
    <xf numFmtId="164" fontId="21" fillId="0" borderId="9" xfId="6" applyNumberFormat="1" applyFont="1" applyBorder="1" applyAlignment="1">
      <alignment vertical="center"/>
    </xf>
    <xf numFmtId="164" fontId="21" fillId="0" borderId="5" xfId="6" applyNumberFormat="1" applyFont="1" applyBorder="1" applyAlignment="1">
      <alignment vertical="center"/>
    </xf>
    <xf numFmtId="164" fontId="25" fillId="0" borderId="12" xfId="6" applyNumberFormat="1" applyFont="1" applyBorder="1" applyAlignment="1">
      <alignment vertical="center"/>
    </xf>
    <xf numFmtId="9" fontId="21" fillId="0" borderId="10" xfId="9" applyFont="1" applyBorder="1" applyAlignment="1">
      <alignment vertical="center"/>
    </xf>
    <xf numFmtId="0" fontId="11" fillId="0" borderId="13" xfId="5" applyFont="1" applyBorder="1"/>
    <xf numFmtId="0" fontId="11" fillId="0" borderId="3" xfId="5" applyFont="1" applyBorder="1"/>
    <xf numFmtId="9" fontId="11" fillId="0" borderId="13" xfId="9" applyFont="1" applyBorder="1"/>
    <xf numFmtId="9" fontId="11" fillId="0" borderId="3" xfId="9" applyFont="1" applyBorder="1"/>
    <xf numFmtId="0" fontId="26" fillId="0" borderId="0" xfId="5" applyFont="1"/>
    <xf numFmtId="0" fontId="10" fillId="0" borderId="0" xfId="5" applyFont="1"/>
    <xf numFmtId="0" fontId="11" fillId="0" borderId="0" xfId="5" applyFont="1"/>
    <xf numFmtId="9" fontId="11" fillId="0" borderId="0" xfId="9" applyFont="1"/>
    <xf numFmtId="0" fontId="12" fillId="0" borderId="0" xfId="5" applyFont="1"/>
    <xf numFmtId="10" fontId="18" fillId="0" borderId="0" xfId="5" applyNumberFormat="1" applyFont="1"/>
    <xf numFmtId="2" fontId="18" fillId="0" borderId="0" xfId="5" applyNumberFormat="1" applyFont="1"/>
    <xf numFmtId="0" fontId="1" fillId="0" borderId="0" xfId="5"/>
    <xf numFmtId="164" fontId="10" fillId="6" borderId="6" xfId="5" applyNumberFormat="1" applyFont="1" applyFill="1" applyBorder="1" applyAlignment="1">
      <alignment horizontal="center" vertical="center"/>
    </xf>
    <xf numFmtId="164" fontId="10" fillId="6" borderId="6" xfId="5" applyNumberFormat="1" applyFont="1" applyFill="1" applyBorder="1" applyAlignment="1">
      <alignment horizontal="center" vertical="center"/>
    </xf>
    <xf numFmtId="164" fontId="10" fillId="6" borderId="7" xfId="5" applyNumberFormat="1" applyFont="1" applyFill="1" applyBorder="1" applyAlignment="1">
      <alignment horizontal="center" vertical="center"/>
    </xf>
    <xf numFmtId="164" fontId="10" fillId="6" borderId="8" xfId="5" applyNumberFormat="1" applyFont="1" applyFill="1" applyBorder="1" applyAlignment="1">
      <alignment horizontal="center" vertical="center"/>
    </xf>
    <xf numFmtId="0" fontId="11" fillId="0" borderId="6" xfId="5" applyFont="1" applyBorder="1" applyAlignment="1">
      <alignment horizontal="center" vertical="center"/>
    </xf>
    <xf numFmtId="0" fontId="10" fillId="0" borderId="15" xfId="5" applyFont="1" applyBorder="1" applyAlignment="1">
      <alignment horizontal="center" vertical="center"/>
    </xf>
    <xf numFmtId="0" fontId="11" fillId="0" borderId="9" xfId="5" applyFont="1" applyBorder="1"/>
    <xf numFmtId="164" fontId="22" fillId="0" borderId="16" xfId="6" applyNumberFormat="1" applyFont="1" applyBorder="1"/>
    <xf numFmtId="9" fontId="22" fillId="0" borderId="16" xfId="9" applyFont="1" applyBorder="1"/>
    <xf numFmtId="0" fontId="11" fillId="0" borderId="11" xfId="5" applyFont="1" applyBorder="1" applyAlignment="1">
      <alignment wrapText="1"/>
    </xf>
    <xf numFmtId="164" fontId="22" fillId="0" borderId="1" xfId="6" applyNumberFormat="1" applyFont="1" applyBorder="1"/>
    <xf numFmtId="9" fontId="22" fillId="0" borderId="1" xfId="9" applyFont="1" applyBorder="1"/>
    <xf numFmtId="0" fontId="11" fillId="0" borderId="14" xfId="5" applyFont="1" applyBorder="1" applyAlignment="1">
      <alignment wrapText="1"/>
    </xf>
    <xf numFmtId="164" fontId="22" fillId="0" borderId="17" xfId="6" applyNumberFormat="1" applyFont="1" applyBorder="1"/>
    <xf numFmtId="9" fontId="22" fillId="0" borderId="17" xfId="9" applyFont="1" applyBorder="1"/>
    <xf numFmtId="0" fontId="10" fillId="7" borderId="11" xfId="5" applyFont="1" applyFill="1" applyBorder="1"/>
    <xf numFmtId="164" fontId="21" fillId="0" borderId="1" xfId="6" applyNumberFormat="1" applyFont="1" applyBorder="1"/>
    <xf numFmtId="9" fontId="21" fillId="0" borderId="1" xfId="9" applyFont="1" applyBorder="1" applyAlignment="1">
      <alignment horizontal="center"/>
    </xf>
    <xf numFmtId="0" fontId="11" fillId="7" borderId="11" xfId="5" applyFont="1" applyFill="1" applyBorder="1"/>
    <xf numFmtId="9" fontId="22" fillId="0" borderId="1" xfId="9" applyFont="1" applyBorder="1" applyAlignment="1">
      <alignment horizontal="center"/>
    </xf>
    <xf numFmtId="164" fontId="24" fillId="0" borderId="1" xfId="6" applyNumberFormat="1" applyFont="1" applyBorder="1"/>
    <xf numFmtId="9" fontId="24" fillId="0" borderId="1" xfId="9" applyFont="1" applyBorder="1" applyAlignment="1">
      <alignment horizontal="center"/>
    </xf>
    <xf numFmtId="0" fontId="11" fillId="0" borderId="14" xfId="5" applyFont="1" applyBorder="1"/>
    <xf numFmtId="9" fontId="22" fillId="0" borderId="17" xfId="9" applyFont="1" applyBorder="1" applyAlignment="1">
      <alignment horizontal="center"/>
    </xf>
    <xf numFmtId="0" fontId="10" fillId="7" borderId="14" xfId="5" applyFont="1" applyFill="1" applyBorder="1"/>
    <xf numFmtId="164" fontId="21" fillId="0" borderId="17" xfId="6" applyNumberFormat="1" applyFont="1" applyBorder="1"/>
    <xf numFmtId="0" fontId="10" fillId="7" borderId="0" xfId="5" applyFont="1" applyFill="1"/>
    <xf numFmtId="164" fontId="21" fillId="0" borderId="0" xfId="6" applyNumberFormat="1" applyFont="1"/>
    <xf numFmtId="9" fontId="22" fillId="0" borderId="0" xfId="9" applyFont="1" applyBorder="1"/>
    <xf numFmtId="0" fontId="8" fillId="0" borderId="0" xfId="5" applyFont="1" applyAlignment="1">
      <alignment wrapText="1"/>
    </xf>
    <xf numFmtId="0" fontId="0" fillId="0" borderId="0" xfId="0" applyAlignment="1">
      <alignment wrapText="1"/>
    </xf>
  </cellXfs>
  <cellStyles count="10">
    <cellStyle name="Comma" xfId="1" builtinId="3"/>
    <cellStyle name="Comma 2 2" xfId="7" xr:uid="{21844E49-56F9-48E7-986F-7D6BF46B539A}"/>
    <cellStyle name="Currency" xfId="2" builtinId="4"/>
    <cellStyle name="Hyperlink" xfId="4" builtinId="8"/>
    <cellStyle name="Normal" xfId="0" builtinId="0"/>
    <cellStyle name="Normal 11" xfId="5" xr:uid="{2443EAE1-1CCE-4C49-9664-D291C22F029B}"/>
    <cellStyle name="Normal 13" xfId="6" xr:uid="{3C8BF440-8EE1-4A32-BFEB-1C488359AA52}"/>
    <cellStyle name="Percent" xfId="3" builtinId="5"/>
    <cellStyle name="Percent 2 2" xfId="8" xr:uid="{C2E2CC2D-191A-4536-9009-E7A61E11D319}"/>
    <cellStyle name="Percent 4" xfId="9" xr:uid="{1470C32C-3CFD-4C8B-B304-5EABDCA9B0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0</xdr:colOff>
      <xdr:row>96</xdr:row>
      <xdr:rowOff>0</xdr:rowOff>
    </xdr:from>
    <xdr:ext cx="4219575" cy="2400300"/>
    <xdr:pic>
      <xdr:nvPicPr>
        <xdr:cNvPr id="2" name="image4.png" title="Image">
          <a:extLst>
            <a:ext uri="{FF2B5EF4-FFF2-40B4-BE49-F238E27FC236}">
              <a16:creationId xmlns:a16="http://schemas.microsoft.com/office/drawing/2014/main" id="{DC260F18-2E2D-4827-A6AD-48987DFB43EF}"/>
            </a:ext>
          </a:extLst>
        </xdr:cNvPr>
        <xdr:cNvPicPr preferRelativeResize="0"/>
      </xdr:nvPicPr>
      <xdr:blipFill>
        <a:blip xmlns:r="http://schemas.openxmlformats.org/officeDocument/2006/relationships" r:embed="rId1" cstate="print"/>
        <a:stretch>
          <a:fillRect/>
        </a:stretch>
      </xdr:blipFill>
      <xdr:spPr>
        <a:xfrm>
          <a:off x="8220075" y="18230850"/>
          <a:ext cx="4219575" cy="2400300"/>
        </a:xfrm>
        <a:prstGeom prst="rect">
          <a:avLst/>
        </a:prstGeom>
        <a:noFill/>
      </xdr:spPr>
    </xdr:pic>
    <xdr:clientData fLocksWithSheet="0"/>
  </xdr:oneCellAnchor>
  <xdr:twoCellAnchor editAs="oneCell">
    <xdr:from>
      <xdr:col>13</xdr:col>
      <xdr:colOff>358140</xdr:colOff>
      <xdr:row>6</xdr:row>
      <xdr:rowOff>38100</xdr:rowOff>
    </xdr:from>
    <xdr:to>
      <xdr:col>20</xdr:col>
      <xdr:colOff>2880</xdr:colOff>
      <xdr:row>38</xdr:row>
      <xdr:rowOff>237358</xdr:rowOff>
    </xdr:to>
    <xdr:pic>
      <xdr:nvPicPr>
        <xdr:cNvPr id="3" name="Picture 2">
          <a:extLst>
            <a:ext uri="{FF2B5EF4-FFF2-40B4-BE49-F238E27FC236}">
              <a16:creationId xmlns:a16="http://schemas.microsoft.com/office/drawing/2014/main" id="{0170F419-B64B-41B9-A0FA-580EF1C520DC}"/>
            </a:ext>
          </a:extLst>
        </xdr:cNvPr>
        <xdr:cNvPicPr>
          <a:picLocks noChangeAspect="1"/>
        </xdr:cNvPicPr>
      </xdr:nvPicPr>
      <xdr:blipFill>
        <a:blip xmlns:r="http://schemas.openxmlformats.org/officeDocument/2006/relationships" r:embed="rId2"/>
        <a:stretch>
          <a:fillRect/>
        </a:stretch>
      </xdr:blipFill>
      <xdr:spPr>
        <a:xfrm>
          <a:off x="10972800" y="1104900"/>
          <a:ext cx="3908130" cy="5702803"/>
        </a:xfrm>
        <a:prstGeom prst="rect">
          <a:avLst/>
        </a:prstGeom>
      </xdr:spPr>
    </xdr:pic>
    <xdr:clientData/>
  </xdr:twoCellAnchor>
  <xdr:twoCellAnchor editAs="oneCell">
    <xdr:from>
      <xdr:col>20</xdr:col>
      <xdr:colOff>167640</xdr:colOff>
      <xdr:row>6</xdr:row>
      <xdr:rowOff>60960</xdr:rowOff>
    </xdr:from>
    <xdr:to>
      <xdr:col>26</xdr:col>
      <xdr:colOff>453731</xdr:colOff>
      <xdr:row>38</xdr:row>
      <xdr:rowOff>168133</xdr:rowOff>
    </xdr:to>
    <xdr:pic>
      <xdr:nvPicPr>
        <xdr:cNvPr id="4" name="Picture 3">
          <a:extLst>
            <a:ext uri="{FF2B5EF4-FFF2-40B4-BE49-F238E27FC236}">
              <a16:creationId xmlns:a16="http://schemas.microsoft.com/office/drawing/2014/main" id="{E79F86E4-147A-459A-AC43-0234B0349C99}"/>
            </a:ext>
          </a:extLst>
        </xdr:cNvPr>
        <xdr:cNvPicPr>
          <a:picLocks noChangeAspect="1"/>
        </xdr:cNvPicPr>
      </xdr:nvPicPr>
      <xdr:blipFill>
        <a:blip xmlns:r="http://schemas.openxmlformats.org/officeDocument/2006/relationships" r:embed="rId3"/>
        <a:stretch>
          <a:fillRect/>
        </a:stretch>
      </xdr:blipFill>
      <xdr:spPr>
        <a:xfrm>
          <a:off x="15049500" y="1123950"/>
          <a:ext cx="3939881" cy="5620243"/>
        </a:xfrm>
        <a:prstGeom prst="rect">
          <a:avLst/>
        </a:prstGeom>
      </xdr:spPr>
    </xdr:pic>
    <xdr:clientData/>
  </xdr:twoCellAnchor>
  <xdr:twoCellAnchor editAs="oneCell">
    <xdr:from>
      <xdr:col>27</xdr:col>
      <xdr:colOff>396240</xdr:colOff>
      <xdr:row>6</xdr:row>
      <xdr:rowOff>99060</xdr:rowOff>
    </xdr:from>
    <xdr:to>
      <xdr:col>32</xdr:col>
      <xdr:colOff>38432</xdr:colOff>
      <xdr:row>38</xdr:row>
      <xdr:rowOff>168130</xdr:rowOff>
    </xdr:to>
    <xdr:pic>
      <xdr:nvPicPr>
        <xdr:cNvPr id="5" name="Picture 4">
          <a:extLst>
            <a:ext uri="{FF2B5EF4-FFF2-40B4-BE49-F238E27FC236}">
              <a16:creationId xmlns:a16="http://schemas.microsoft.com/office/drawing/2014/main" id="{DC3DD459-3B62-4ABE-B538-31CFF249A36C}"/>
            </a:ext>
          </a:extLst>
        </xdr:cNvPr>
        <xdr:cNvPicPr>
          <a:picLocks noChangeAspect="1"/>
        </xdr:cNvPicPr>
      </xdr:nvPicPr>
      <xdr:blipFill>
        <a:blip xmlns:r="http://schemas.openxmlformats.org/officeDocument/2006/relationships" r:embed="rId4"/>
        <a:stretch>
          <a:fillRect/>
        </a:stretch>
      </xdr:blipFill>
      <xdr:spPr>
        <a:xfrm>
          <a:off x="19545300" y="1162050"/>
          <a:ext cx="3829382" cy="5582140"/>
        </a:xfrm>
        <a:prstGeom prst="rect">
          <a:avLst/>
        </a:prstGeom>
      </xdr:spPr>
    </xdr:pic>
    <xdr:clientData/>
  </xdr:twoCellAnchor>
  <xdr:twoCellAnchor editAs="oneCell">
    <xdr:from>
      <xdr:col>32</xdr:col>
      <xdr:colOff>487680</xdr:colOff>
      <xdr:row>6</xdr:row>
      <xdr:rowOff>91440</xdr:rowOff>
    </xdr:from>
    <xdr:to>
      <xdr:col>36</xdr:col>
      <xdr:colOff>453730</xdr:colOff>
      <xdr:row>38</xdr:row>
      <xdr:rowOff>168768</xdr:rowOff>
    </xdr:to>
    <xdr:pic>
      <xdr:nvPicPr>
        <xdr:cNvPr id="6" name="Picture 5">
          <a:extLst>
            <a:ext uri="{FF2B5EF4-FFF2-40B4-BE49-F238E27FC236}">
              <a16:creationId xmlns:a16="http://schemas.microsoft.com/office/drawing/2014/main" id="{843922FA-6C79-4FF0-9363-C672B80209AE}"/>
            </a:ext>
          </a:extLst>
        </xdr:cNvPr>
        <xdr:cNvPicPr>
          <a:picLocks noChangeAspect="1"/>
        </xdr:cNvPicPr>
      </xdr:nvPicPr>
      <xdr:blipFill>
        <a:blip xmlns:r="http://schemas.openxmlformats.org/officeDocument/2006/relationships" r:embed="rId5"/>
        <a:stretch>
          <a:fillRect/>
        </a:stretch>
      </xdr:blipFill>
      <xdr:spPr>
        <a:xfrm>
          <a:off x="23822025" y="1162050"/>
          <a:ext cx="3930355" cy="5582778"/>
        </a:xfrm>
        <a:prstGeom prst="rect">
          <a:avLst/>
        </a:prstGeom>
      </xdr:spPr>
    </xdr:pic>
    <xdr:clientData/>
  </xdr:twoCellAnchor>
  <xdr:twoCellAnchor editAs="oneCell">
    <xdr:from>
      <xdr:col>37</xdr:col>
      <xdr:colOff>0</xdr:colOff>
      <xdr:row>7</xdr:row>
      <xdr:rowOff>0</xdr:rowOff>
    </xdr:from>
    <xdr:to>
      <xdr:col>41</xdr:col>
      <xdr:colOff>20029</xdr:colOff>
      <xdr:row>38</xdr:row>
      <xdr:rowOff>402465</xdr:rowOff>
    </xdr:to>
    <xdr:pic>
      <xdr:nvPicPr>
        <xdr:cNvPr id="7" name="Picture 6">
          <a:extLst>
            <a:ext uri="{FF2B5EF4-FFF2-40B4-BE49-F238E27FC236}">
              <a16:creationId xmlns:a16="http://schemas.microsoft.com/office/drawing/2014/main" id="{9CAE3A7D-6F46-4FEF-8B72-37A9A6663576}"/>
            </a:ext>
          </a:extLst>
        </xdr:cNvPr>
        <xdr:cNvPicPr>
          <a:picLocks noChangeAspect="1"/>
        </xdr:cNvPicPr>
      </xdr:nvPicPr>
      <xdr:blipFill>
        <a:blip xmlns:r="http://schemas.openxmlformats.org/officeDocument/2006/relationships" r:embed="rId6"/>
        <a:stretch>
          <a:fillRect/>
        </a:stretch>
      </xdr:blipFill>
      <xdr:spPr>
        <a:xfrm>
          <a:off x="28289250" y="1238250"/>
          <a:ext cx="3978619" cy="5740275"/>
        </a:xfrm>
        <a:prstGeom prst="rect">
          <a:avLst/>
        </a:prstGeom>
      </xdr:spPr>
    </xdr:pic>
    <xdr:clientData/>
  </xdr:twoCellAnchor>
  <xdr:twoCellAnchor editAs="oneCell">
    <xdr:from>
      <xdr:col>7</xdr:col>
      <xdr:colOff>268968</xdr:colOff>
      <xdr:row>16</xdr:row>
      <xdr:rowOff>152400</xdr:rowOff>
    </xdr:from>
    <xdr:to>
      <xdr:col>12</xdr:col>
      <xdr:colOff>621032</xdr:colOff>
      <xdr:row>36</xdr:row>
      <xdr:rowOff>129540</xdr:rowOff>
    </xdr:to>
    <xdr:pic>
      <xdr:nvPicPr>
        <xdr:cNvPr id="8" name="Picture 7">
          <a:extLst>
            <a:ext uri="{FF2B5EF4-FFF2-40B4-BE49-F238E27FC236}">
              <a16:creationId xmlns:a16="http://schemas.microsoft.com/office/drawing/2014/main" id="{2399F324-66E1-4355-842C-0B8CC4186F08}"/>
            </a:ext>
          </a:extLst>
        </xdr:cNvPr>
        <xdr:cNvPicPr>
          <a:picLocks noChangeAspect="1"/>
        </xdr:cNvPicPr>
      </xdr:nvPicPr>
      <xdr:blipFill>
        <a:blip xmlns:r="http://schemas.openxmlformats.org/officeDocument/2006/relationships" r:embed="rId7"/>
        <a:stretch>
          <a:fillRect/>
        </a:stretch>
      </xdr:blipFill>
      <xdr:spPr>
        <a:xfrm>
          <a:off x="6260193" y="2952750"/>
          <a:ext cx="3931559" cy="3409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0</xdr:colOff>
      <xdr:row>80</xdr:row>
      <xdr:rowOff>0</xdr:rowOff>
    </xdr:from>
    <xdr:ext cx="4219575" cy="2400300"/>
    <xdr:pic>
      <xdr:nvPicPr>
        <xdr:cNvPr id="2" name="image4.png" title="Image">
          <a:extLst>
            <a:ext uri="{FF2B5EF4-FFF2-40B4-BE49-F238E27FC236}">
              <a16:creationId xmlns:a16="http://schemas.microsoft.com/office/drawing/2014/main" id="{A1E6EB36-0468-4366-ACC4-C28BD1566D41}"/>
            </a:ext>
          </a:extLst>
        </xdr:cNvPr>
        <xdr:cNvPicPr preferRelativeResize="0"/>
      </xdr:nvPicPr>
      <xdr:blipFill>
        <a:blip xmlns:r="http://schemas.openxmlformats.org/officeDocument/2006/relationships" r:embed="rId1" cstate="print"/>
        <a:stretch>
          <a:fillRect/>
        </a:stretch>
      </xdr:blipFill>
      <xdr:spPr>
        <a:xfrm>
          <a:off x="9144000" y="14535150"/>
          <a:ext cx="4219575" cy="2400300"/>
        </a:xfrm>
        <a:prstGeom prst="rect">
          <a:avLst/>
        </a:prstGeom>
        <a:noFill/>
      </xdr:spPr>
    </xdr:pic>
    <xdr:clientData fLocksWithSheet="0"/>
  </xdr:oneCellAnchor>
  <xdr:oneCellAnchor>
    <xdr:from>
      <xdr:col>8</xdr:col>
      <xdr:colOff>495300</xdr:colOff>
      <xdr:row>1</xdr:row>
      <xdr:rowOff>133350</xdr:rowOff>
    </xdr:from>
    <xdr:ext cx="4800600" cy="733425"/>
    <xdr:pic>
      <xdr:nvPicPr>
        <xdr:cNvPr id="3" name="image1.png" title="Image">
          <a:extLst>
            <a:ext uri="{FF2B5EF4-FFF2-40B4-BE49-F238E27FC236}">
              <a16:creationId xmlns:a16="http://schemas.microsoft.com/office/drawing/2014/main" id="{BDEFF501-BC7C-44ED-8FF3-93A0BAEC8095}"/>
            </a:ext>
          </a:extLst>
        </xdr:cNvPr>
        <xdr:cNvPicPr preferRelativeResize="0"/>
      </xdr:nvPicPr>
      <xdr:blipFill>
        <a:blip xmlns:r="http://schemas.openxmlformats.org/officeDocument/2006/relationships" r:embed="rId2" cstate="print"/>
        <a:stretch>
          <a:fillRect/>
        </a:stretch>
      </xdr:blipFill>
      <xdr:spPr>
        <a:xfrm>
          <a:off x="8420100" y="320040"/>
          <a:ext cx="4800600" cy="7334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78</xdr:row>
      <xdr:rowOff>0</xdr:rowOff>
    </xdr:from>
    <xdr:ext cx="4219575" cy="2400300"/>
    <xdr:pic>
      <xdr:nvPicPr>
        <xdr:cNvPr id="2" name="image4.png" title="Image">
          <a:extLst>
            <a:ext uri="{FF2B5EF4-FFF2-40B4-BE49-F238E27FC236}">
              <a16:creationId xmlns:a16="http://schemas.microsoft.com/office/drawing/2014/main" id="{6B5760E5-002E-4E03-BC5B-D427D466AD78}"/>
            </a:ext>
          </a:extLst>
        </xdr:cNvPr>
        <xdr:cNvPicPr preferRelativeResize="0"/>
      </xdr:nvPicPr>
      <xdr:blipFill>
        <a:blip xmlns:r="http://schemas.openxmlformats.org/officeDocument/2006/relationships" r:embed="rId1" cstate="print"/>
        <a:stretch>
          <a:fillRect/>
        </a:stretch>
      </xdr:blipFill>
      <xdr:spPr>
        <a:xfrm>
          <a:off x="8562975" y="14554200"/>
          <a:ext cx="4219575" cy="240030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Sage%20Commercial/Templates/RV%20Template/RV%20FS%20TEMPLATE%2003-17-26.xlsm" TargetMode="External"/><Relationship Id="rId2" Type="http://schemas.openxmlformats.org/officeDocument/2006/relationships/externalLinkPath" Target="file:///C:\Users\13039\Documents\Sage%20Commercial\Templates\RV%20Template\RV%20FS%20TEMPLATE%2003-17-26.xlsm" TargetMode="External"/><Relationship Id="rId1" Type="http://schemas.openxmlformats.org/officeDocument/2006/relationships/externalLinkPath" Target="/Users/13039/Documents/Sage%20Commercial/Templates/RV%20Template/RV%20FS%20TEMPLATE%2003-17-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INKS &amp; LOGINS"/>
      <sheetName val="CHAT GPT, AI HELP"/>
      <sheetName val="PROJ. OVERVIEW"/>
      <sheetName val="AREA &amp; DEMAND INDICATORS"/>
      <sheetName val="Market Profile"/>
      <sheetName val="60 Min 120 Min 180 Min"/>
      <sheetName val="City"/>
      <sheetName val="County"/>
      <sheetName val="MSA"/>
      <sheetName val="USA"/>
      <sheetName val="Nat. Parks"/>
      <sheetName val="State Parks"/>
      <sheetName val="Wildfire"/>
      <sheetName val="Start Date"/>
      <sheetName val="Info Construction Comps"/>
      <sheetName val="SUPPLY &amp; COMPS"/>
      <sheetName val="Pivot 1 data"/>
      <sheetName val="FHU RV 150 Mile"/>
      <sheetName val="150 Mile Cabin w Private Bath"/>
      <sheetName val="150 Mile Dome"/>
      <sheetName val="Pivot 2 data"/>
      <sheetName val="FHU RV 50 Mile"/>
      <sheetName val="50 Mile Cabin"/>
      <sheetName val="Pivot Data 3"/>
      <sheetName val="Domes 300 Mile"/>
      <sheetName val="Area Competitors"/>
      <sheetName val="Amenity"/>
      <sheetName val="Best Comps"/>
      <sheetName val="Comps Summ."/>
      <sheetName val="Form"/>
      <sheetName val="Excel Input"/>
      <sheetName val="ToT (Intake Form)"/>
      <sheetName val="RATES &amp; OCC. PROJ."/>
      <sheetName val="Seasonality"/>
      <sheetName val="Rate Input"/>
      <sheetName val="Rates Proj"/>
      <sheetName val="Segments of Demand RV Sites"/>
      <sheetName val="Segments of Demand Cabins"/>
      <sheetName val="Segments of Demand Airstream"/>
      <sheetName val="Occ. Proj"/>
      <sheetName val="Hotel Market"/>
      <sheetName val="REV. PRO., TAX, EXP, PRO FORMA"/>
      <sheetName val="Misc. Expenses"/>
      <sheetName val="RE Taxes"/>
      <sheetName val="Tax Comps"/>
      <sheetName val="Monthly PF"/>
      <sheetName val="10 yr PF"/>
      <sheetName val="Annual Operating Stats"/>
      <sheetName val="Revenue Charts"/>
      <sheetName val="Expense Charts"/>
      <sheetName val="Metrics Chart Data"/>
      <sheetName val="Restaurant Revenue"/>
      <sheetName val="Event Projection"/>
      <sheetName val="Golf Cart"/>
      <sheetName val="DEVELOPMENT COSTS"/>
      <sheetName val="Site Dev Cost"/>
      <sheetName val="Add. Bldg Improv."/>
      <sheetName val="Total Proj. Cost"/>
      <sheetName val="Construction Comps"/>
      <sheetName val="Construction Summary"/>
      <sheetName val="FEASIBILITY CONCLUSION"/>
      <sheetName val="Unit Costs"/>
      <sheetName val="Financing"/>
      <sheetName val="IRR"/>
      <sheetName val="Exp Comps"/>
      <sheetName val="2. SAGE Exp. Comparables"/>
      <sheetName val="3. Expense Comparable Ranges"/>
      <sheetName val="4. Industry Exp. Benchmarks"/>
      <sheetName val="True Month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6">
          <cell r="C6" t="str">
            <v>Subject City</v>
          </cell>
        </row>
        <row r="49">
          <cell r="C49">
            <v>3000</v>
          </cell>
        </row>
      </sheetData>
      <sheetData sheetId="31">
        <row r="19">
          <cell r="C19">
            <v>1611720</v>
          </cell>
        </row>
        <row r="41">
          <cell r="C41">
            <v>1</v>
          </cell>
        </row>
        <row r="42">
          <cell r="C42" t="str">
            <v>Cabin 1</v>
          </cell>
        </row>
        <row r="43">
          <cell r="C43" t="str">
            <v>399 SF park model with a queen bed, a bedroom with a bunk bed, living area, full, kitchen, full bathroom, and covered porch.</v>
          </cell>
        </row>
        <row r="44">
          <cell r="C44">
            <v>1</v>
          </cell>
        </row>
        <row r="45">
          <cell r="C45" t="str">
            <v>Cabin 2</v>
          </cell>
        </row>
        <row r="46">
          <cell r="C46" t="str">
            <v>Unit Description</v>
          </cell>
        </row>
        <row r="47">
          <cell r="C47">
            <v>1</v>
          </cell>
        </row>
        <row r="48">
          <cell r="C48" t="str">
            <v>Cabin 3</v>
          </cell>
        </row>
        <row r="49">
          <cell r="C49" t="str">
            <v>Unit Description</v>
          </cell>
        </row>
        <row r="53">
          <cell r="C53">
            <v>8</v>
          </cell>
        </row>
        <row r="74">
          <cell r="C74">
            <v>4700000</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27">
          <cell r="M27">
            <v>1021027.9802124386</v>
          </cell>
        </row>
      </sheetData>
      <sheetData sheetId="64"/>
      <sheetData sheetId="65"/>
      <sheetData sheetId="66"/>
      <sheetData sheetId="67"/>
      <sheetData sheetId="6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zookcabins.com/cabin/luna" TargetMode="External"/><Relationship Id="rId3" Type="http://schemas.openxmlformats.org/officeDocument/2006/relationships/hyperlink" Target="https://www.zookcabins.com/cabin/cascade" TargetMode="External"/><Relationship Id="rId7" Type="http://schemas.openxmlformats.org/officeDocument/2006/relationships/hyperlink" Target="https://www.zookcabins.com/cabin/a-frame-park-model-home/" TargetMode="External"/><Relationship Id="rId2" Type="http://schemas.openxmlformats.org/officeDocument/2006/relationships/hyperlink" Target="https://www.zookcabins.com/cabin/studio" TargetMode="External"/><Relationship Id="rId1" Type="http://schemas.openxmlformats.org/officeDocument/2006/relationships/hyperlink" Target="https://www.zookcabins.com/cabin/aspen/" TargetMode="External"/><Relationship Id="rId6" Type="http://schemas.openxmlformats.org/officeDocument/2006/relationships/hyperlink" Target="https://www.zookcabins.com/cabin/alpine-park-model-rv/" TargetMode="External"/><Relationship Id="rId5" Type="http://schemas.openxmlformats.org/officeDocument/2006/relationships/hyperlink" Target="https://www.zookcabins.com/cabin/luxury-park-model-home/" TargetMode="External"/><Relationship Id="rId10" Type="http://schemas.openxmlformats.org/officeDocument/2006/relationships/drawing" Target="../drawings/drawing2.xml"/><Relationship Id="rId4" Type="http://schemas.openxmlformats.org/officeDocument/2006/relationships/hyperlink" Target="https://www.zookcabins.com/choose-your-cabin-style/log-cabins/park-model-homes/pocono-park-model-cabin/" TargetMode="Externa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4FE3-E218-4EC4-9BD3-BED8D3DF9597}">
  <sheetPr>
    <tabColor rgb="FF980000"/>
  </sheetPr>
  <dimension ref="A1:E46"/>
  <sheetViews>
    <sheetView showGridLines="0" tabSelected="1" workbookViewId="0">
      <selection sqref="A1:XFD1048576"/>
    </sheetView>
  </sheetViews>
  <sheetFormatPr defaultRowHeight="14.4" x14ac:dyDescent="0.3"/>
  <cols>
    <col min="1" max="2" width="8.88671875" style="10"/>
    <col min="3" max="3" width="178.88671875" style="10" customWidth="1"/>
    <col min="4" max="4" width="69.109375" style="10" customWidth="1"/>
    <col min="5" max="5" width="65.33203125" style="11" customWidth="1"/>
    <col min="7" max="7" width="8.6640625" bestFit="1" customWidth="1"/>
    <col min="8" max="8" width="14.33203125" customWidth="1"/>
    <col min="10" max="10" width="10.6640625" customWidth="1"/>
    <col min="11" max="11" width="15.6640625" customWidth="1"/>
  </cols>
  <sheetData>
    <row r="1" spans="1:5" s="5" customFormat="1" ht="18" x14ac:dyDescent="0.35">
      <c r="A1" s="1" t="s">
        <v>0</v>
      </c>
      <c r="B1" s="2"/>
      <c r="C1" s="2"/>
      <c r="D1" s="3" t="s">
        <v>1</v>
      </c>
      <c r="E1" s="4" t="s">
        <v>2</v>
      </c>
    </row>
    <row r="2" spans="1:5" s="5" customFormat="1" ht="18" x14ac:dyDescent="0.35">
      <c r="A2" s="6" t="s">
        <v>3</v>
      </c>
      <c r="B2" s="7"/>
      <c r="C2" s="7"/>
      <c r="D2" s="8"/>
      <c r="E2" s="4"/>
    </row>
    <row r="3" spans="1:5" s="5" customFormat="1" ht="18" x14ac:dyDescent="0.35">
      <c r="A3" s="6" t="s">
        <v>4</v>
      </c>
      <c r="B3" s="7"/>
      <c r="C3" s="7"/>
      <c r="D3" s="8"/>
      <c r="E3" s="4"/>
    </row>
    <row r="4" spans="1:5" x14ac:dyDescent="0.3">
      <c r="A4" s="9" t="s">
        <v>5</v>
      </c>
    </row>
    <row r="5" spans="1:5" x14ac:dyDescent="0.3">
      <c r="A5" s="9"/>
      <c r="B5" s="9" t="s">
        <v>6</v>
      </c>
    </row>
    <row r="6" spans="1:5" x14ac:dyDescent="0.3">
      <c r="A6" s="9"/>
      <c r="B6" s="9"/>
      <c r="C6" s="10" t="s">
        <v>7</v>
      </c>
    </row>
    <row r="7" spans="1:5" x14ac:dyDescent="0.3">
      <c r="B7" s="12" t="s">
        <v>8</v>
      </c>
    </row>
    <row r="8" spans="1:5" x14ac:dyDescent="0.3">
      <c r="D8" s="9"/>
    </row>
    <row r="9" spans="1:5" x14ac:dyDescent="0.3">
      <c r="A9" s="9" t="s">
        <v>9</v>
      </c>
      <c r="D9" s="9"/>
    </row>
    <row r="10" spans="1:5" x14ac:dyDescent="0.3">
      <c r="B10" s="12" t="s">
        <v>10</v>
      </c>
      <c r="D10" s="9"/>
    </row>
    <row r="11" spans="1:5" x14ac:dyDescent="0.3">
      <c r="B11" s="12"/>
      <c r="D11" s="9"/>
    </row>
    <row r="12" spans="1:5" x14ac:dyDescent="0.3">
      <c r="B12" s="9" t="s">
        <v>11</v>
      </c>
      <c r="D12" s="9"/>
    </row>
    <row r="13" spans="1:5" x14ac:dyDescent="0.3">
      <c r="B13" s="9"/>
      <c r="C13" s="12" t="s">
        <v>12</v>
      </c>
      <c r="D13" s="9"/>
    </row>
    <row r="14" spans="1:5" x14ac:dyDescent="0.3">
      <c r="B14" s="9"/>
      <c r="D14" s="9"/>
    </row>
    <row r="15" spans="1:5" x14ac:dyDescent="0.3">
      <c r="B15" s="9" t="s">
        <v>13</v>
      </c>
      <c r="D15" s="9"/>
    </row>
    <row r="16" spans="1:5" x14ac:dyDescent="0.3">
      <c r="B16" s="12" t="s">
        <v>14</v>
      </c>
      <c r="D16" s="9"/>
    </row>
    <row r="18" spans="1:3" x14ac:dyDescent="0.3">
      <c r="B18" s="9" t="s">
        <v>15</v>
      </c>
    </row>
    <row r="19" spans="1:3" x14ac:dyDescent="0.3">
      <c r="A19" s="9"/>
      <c r="B19" s="9" t="s">
        <v>16</v>
      </c>
    </row>
    <row r="20" spans="1:3" x14ac:dyDescent="0.3">
      <c r="A20" s="9"/>
    </row>
    <row r="21" spans="1:3" x14ac:dyDescent="0.3">
      <c r="A21" s="9" t="s">
        <v>17</v>
      </c>
    </row>
    <row r="22" spans="1:3" x14ac:dyDescent="0.3">
      <c r="A22" s="9"/>
      <c r="B22" s="12" t="s">
        <v>18</v>
      </c>
    </row>
    <row r="23" spans="1:3" x14ac:dyDescent="0.3">
      <c r="A23" s="9"/>
      <c r="B23" s="12"/>
      <c r="C23" s="13" t="s">
        <v>19</v>
      </c>
    </row>
    <row r="24" spans="1:3" x14ac:dyDescent="0.3">
      <c r="A24" s="9"/>
      <c r="B24" s="12"/>
      <c r="C24" s="9" t="s">
        <v>20</v>
      </c>
    </row>
    <row r="25" spans="1:3" ht="331.2" x14ac:dyDescent="0.3">
      <c r="A25" s="9"/>
      <c r="B25" s="12"/>
      <c r="C25" s="14" t="s">
        <v>21</v>
      </c>
    </row>
    <row r="26" spans="1:3" x14ac:dyDescent="0.3">
      <c r="A26" s="9"/>
      <c r="B26" s="12"/>
      <c r="C26" s="12"/>
    </row>
    <row r="27" spans="1:3" x14ac:dyDescent="0.3">
      <c r="A27" s="9"/>
      <c r="B27" s="12"/>
      <c r="C27" s="15" t="s">
        <v>22</v>
      </c>
    </row>
    <row r="28" spans="1:3" ht="72" x14ac:dyDescent="0.3">
      <c r="A28" s="9"/>
      <c r="B28" s="12"/>
      <c r="C28" s="14" t="s">
        <v>23</v>
      </c>
    </row>
    <row r="29" spans="1:3" x14ac:dyDescent="0.3">
      <c r="A29" s="9"/>
      <c r="B29" s="12"/>
    </row>
    <row r="30" spans="1:3" x14ac:dyDescent="0.3">
      <c r="A30" s="9"/>
      <c r="B30" s="12"/>
      <c r="C30" s="9" t="s">
        <v>24</v>
      </c>
    </row>
    <row r="31" spans="1:3" ht="403.2" x14ac:dyDescent="0.3">
      <c r="A31" s="9"/>
      <c r="C31" s="14" t="s">
        <v>25</v>
      </c>
    </row>
    <row r="32" spans="1:3" x14ac:dyDescent="0.3">
      <c r="A32" s="9"/>
      <c r="C32" s="14"/>
    </row>
    <row r="33" spans="1:4" x14ac:dyDescent="0.3">
      <c r="A33" s="9"/>
      <c r="C33" s="15" t="s">
        <v>26</v>
      </c>
    </row>
    <row r="34" spans="1:4" ht="72" x14ac:dyDescent="0.3">
      <c r="A34" s="9"/>
      <c r="C34" s="14" t="s">
        <v>27</v>
      </c>
    </row>
    <row r="36" spans="1:4" x14ac:dyDescent="0.3">
      <c r="A36" s="9" t="s">
        <v>28</v>
      </c>
      <c r="C36" s="9"/>
    </row>
    <row r="37" spans="1:4" x14ac:dyDescent="0.3">
      <c r="B37" s="12" t="s">
        <v>29</v>
      </c>
    </row>
    <row r="38" spans="1:4" x14ac:dyDescent="0.3">
      <c r="B38" s="12"/>
      <c r="C38" s="12" t="s">
        <v>30</v>
      </c>
    </row>
    <row r="39" spans="1:4" x14ac:dyDescent="0.3">
      <c r="C39" s="12" t="s">
        <v>31</v>
      </c>
      <c r="D39" s="9"/>
    </row>
    <row r="40" spans="1:4" x14ac:dyDescent="0.3">
      <c r="C40" s="14" t="s">
        <v>32</v>
      </c>
    </row>
    <row r="42" spans="1:4" x14ac:dyDescent="0.3">
      <c r="B42" s="12" t="s">
        <v>18</v>
      </c>
    </row>
    <row r="43" spans="1:4" ht="43.2" x14ac:dyDescent="0.3">
      <c r="C43" s="14" t="s">
        <v>33</v>
      </c>
    </row>
    <row r="45" spans="1:4" x14ac:dyDescent="0.3">
      <c r="B45" s="12" t="s">
        <v>18</v>
      </c>
    </row>
    <row r="46" spans="1:4" x14ac:dyDescent="0.3">
      <c r="B46" s="1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97AFD-3E28-4CE3-9EF8-F7AA4FB88614}">
  <sheetPr codeName="Sheet21">
    <tabColor rgb="FF980000"/>
  </sheetPr>
  <dimension ref="B2:M69"/>
  <sheetViews>
    <sheetView showGridLines="0" topLeftCell="A13" workbookViewId="0">
      <selection sqref="A1:XFD1048576"/>
    </sheetView>
  </sheetViews>
  <sheetFormatPr defaultColWidth="14.44140625" defaultRowHeight="15" customHeight="1" x14ac:dyDescent="0.3"/>
  <cols>
    <col min="1" max="1" width="2.5546875" style="16" customWidth="1"/>
    <col min="2" max="2" width="30.5546875" style="16" customWidth="1"/>
    <col min="3" max="3" width="10.6640625" style="17" bestFit="1" customWidth="1"/>
    <col min="4" max="4" width="11.21875" style="17" customWidth="1"/>
    <col min="5" max="5" width="8.44140625" style="17" customWidth="1"/>
    <col min="6" max="6" width="21.33203125" style="50" customWidth="1"/>
    <col min="7" max="7" width="2.5546875" style="16" customWidth="1"/>
    <col min="8" max="11" width="10.77734375" style="16" customWidth="1"/>
    <col min="12" max="12" width="8.88671875" style="16" customWidth="1"/>
    <col min="13" max="13" width="15.109375" style="16" customWidth="1"/>
    <col min="14" max="29" width="8.88671875" style="16" customWidth="1"/>
    <col min="30" max="16384" width="14.44140625" style="16"/>
  </cols>
  <sheetData>
    <row r="2" spans="2:13" ht="15" customHeight="1" x14ac:dyDescent="0.3">
      <c r="F2" s="18" t="s">
        <v>35</v>
      </c>
      <c r="H2" s="19" t="s">
        <v>36</v>
      </c>
      <c r="I2" s="20"/>
    </row>
    <row r="3" spans="2:13" ht="14.25" customHeight="1" x14ac:dyDescent="0.3">
      <c r="B3" s="21" t="s">
        <v>37</v>
      </c>
      <c r="C3" s="22" t="s">
        <v>38</v>
      </c>
      <c r="D3" s="22" t="s">
        <v>39</v>
      </c>
      <c r="E3" s="22" t="s">
        <v>40</v>
      </c>
      <c r="F3" s="23" t="s">
        <v>41</v>
      </c>
      <c r="G3" s="24"/>
      <c r="H3" s="25" t="s">
        <v>42</v>
      </c>
      <c r="I3" s="25"/>
      <c r="J3" s="25"/>
      <c r="K3" s="25"/>
      <c r="L3" s="25"/>
      <c r="M3" s="25"/>
    </row>
    <row r="4" spans="2:13" ht="14.25" customHeight="1" x14ac:dyDescent="0.3">
      <c r="B4" s="26" t="s">
        <v>43</v>
      </c>
      <c r="C4" s="27">
        <f>'[1]ToT (Intake Form)'!C53</f>
        <v>8</v>
      </c>
      <c r="D4" s="28"/>
      <c r="E4" s="28"/>
      <c r="F4" s="29"/>
      <c r="G4" s="24"/>
      <c r="H4" s="30" t="s">
        <v>35</v>
      </c>
      <c r="I4" s="30" t="s">
        <v>44</v>
      </c>
      <c r="J4" s="31" t="s">
        <v>45</v>
      </c>
      <c r="K4" s="30" t="s">
        <v>46</v>
      </c>
      <c r="L4" s="30" t="s">
        <v>47</v>
      </c>
      <c r="M4" s="31"/>
    </row>
    <row r="5" spans="2:13" ht="14.25" customHeight="1" x14ac:dyDescent="0.3">
      <c r="B5" s="32" t="s">
        <v>48</v>
      </c>
      <c r="C5" s="33">
        <f>C4</f>
        <v>8</v>
      </c>
      <c r="D5" s="34">
        <f>IF(F$2="Excellent", H5, IF(F$2="Good", I5, IF(F$2="Average", J5, IF(F$2="Low", K5, IF(F$2="Cheap", L5, "")))))</f>
        <v>2550</v>
      </c>
      <c r="E5" s="34">
        <f>C5*D5</f>
        <v>20400</v>
      </c>
      <c r="F5" s="29" t="str">
        <f>F$2</f>
        <v>Excellent</v>
      </c>
      <c r="G5" s="24"/>
      <c r="H5" s="35">
        <v>2550</v>
      </c>
      <c r="I5" s="36">
        <v>1920</v>
      </c>
      <c r="J5" s="36">
        <v>1320</v>
      </c>
      <c r="K5" s="36">
        <v>935</v>
      </c>
      <c r="L5" s="36">
        <v>482</v>
      </c>
      <c r="M5" s="37" t="s">
        <v>48</v>
      </c>
    </row>
    <row r="6" spans="2:13" ht="14.25" customHeight="1" x14ac:dyDescent="0.3">
      <c r="B6" s="32" t="s">
        <v>49</v>
      </c>
      <c r="C6" s="38">
        <f t="shared" ref="C6:C14" si="0">C5</f>
        <v>8</v>
      </c>
      <c r="D6" s="34">
        <f t="shared" ref="D6:D14" si="1">IF(F$2="Excellent", H6, IF(F$2="Good", I6, IF(F$2="Average", J6, IF(F$2="Low", K6, IF(F$2="Cheap", L6, "")))))</f>
        <v>2430</v>
      </c>
      <c r="E6" s="34">
        <f t="shared" ref="E6:E12" si="2">C6*D6</f>
        <v>19440</v>
      </c>
      <c r="F6" s="29" t="str">
        <f t="shared" ref="F6:F14" si="3">F$2</f>
        <v>Excellent</v>
      </c>
      <c r="G6" s="24"/>
      <c r="H6" s="35">
        <v>2430</v>
      </c>
      <c r="I6" s="36">
        <v>1750</v>
      </c>
      <c r="J6" s="36">
        <v>1140</v>
      </c>
      <c r="K6" s="36">
        <v>765</v>
      </c>
      <c r="L6" s="36">
        <v>412</v>
      </c>
      <c r="M6" s="37" t="s">
        <v>49</v>
      </c>
    </row>
    <row r="7" spans="2:13" ht="14.25" customHeight="1" x14ac:dyDescent="0.3">
      <c r="B7" s="32" t="s">
        <v>50</v>
      </c>
      <c r="C7" s="38">
        <f t="shared" si="0"/>
        <v>8</v>
      </c>
      <c r="D7" s="34">
        <f t="shared" si="1"/>
        <v>3675</v>
      </c>
      <c r="E7" s="34">
        <f t="shared" si="2"/>
        <v>29400</v>
      </c>
      <c r="F7" s="29" t="str">
        <f t="shared" si="3"/>
        <v>Excellent</v>
      </c>
      <c r="G7" s="24"/>
      <c r="H7" s="35">
        <v>3675</v>
      </c>
      <c r="I7" s="36">
        <v>2775</v>
      </c>
      <c r="J7" s="36">
        <v>1960</v>
      </c>
      <c r="K7" s="36">
        <v>1510</v>
      </c>
      <c r="L7" s="36">
        <v>965</v>
      </c>
      <c r="M7" s="37" t="s">
        <v>51</v>
      </c>
    </row>
    <row r="8" spans="2:13" ht="14.25" customHeight="1" x14ac:dyDescent="0.3">
      <c r="B8" s="32" t="s">
        <v>52</v>
      </c>
      <c r="C8" s="38">
        <f t="shared" si="0"/>
        <v>8</v>
      </c>
      <c r="D8" s="34">
        <f t="shared" si="1"/>
        <v>3200</v>
      </c>
      <c r="E8" s="34">
        <f t="shared" si="2"/>
        <v>25600</v>
      </c>
      <c r="F8" s="29" t="str">
        <f t="shared" si="3"/>
        <v>Excellent</v>
      </c>
      <c r="G8" s="24"/>
      <c r="H8" s="35">
        <v>3200</v>
      </c>
      <c r="I8" s="36">
        <v>2170</v>
      </c>
      <c r="J8" s="36">
        <v>1440</v>
      </c>
      <c r="K8" s="36">
        <v>975</v>
      </c>
      <c r="L8" s="36">
        <v>545</v>
      </c>
      <c r="M8" s="37" t="s">
        <v>52</v>
      </c>
    </row>
    <row r="9" spans="2:13" ht="14.25" customHeight="1" x14ac:dyDescent="0.3">
      <c r="B9" s="32" t="s">
        <v>53</v>
      </c>
      <c r="C9" s="38">
        <f t="shared" si="0"/>
        <v>8</v>
      </c>
      <c r="D9" s="34">
        <f t="shared" si="1"/>
        <v>2430</v>
      </c>
      <c r="E9" s="34">
        <f t="shared" si="2"/>
        <v>19440</v>
      </c>
      <c r="F9" s="29" t="str">
        <f t="shared" si="3"/>
        <v>Excellent</v>
      </c>
      <c r="G9" s="24"/>
      <c r="H9" s="35">
        <v>2430</v>
      </c>
      <c r="I9" s="36">
        <v>2040</v>
      </c>
      <c r="J9" s="36">
        <v>1600</v>
      </c>
      <c r="K9" s="36">
        <v>1090</v>
      </c>
      <c r="L9" s="36">
        <v>750</v>
      </c>
      <c r="M9" s="37" t="s">
        <v>54</v>
      </c>
    </row>
    <row r="10" spans="2:13" ht="14.25" customHeight="1" x14ac:dyDescent="0.3">
      <c r="B10" s="39" t="s">
        <v>55</v>
      </c>
      <c r="C10" s="38">
        <f t="shared" si="0"/>
        <v>8</v>
      </c>
      <c r="D10" s="34">
        <f t="shared" si="1"/>
        <v>2390</v>
      </c>
      <c r="E10" s="34">
        <f t="shared" si="2"/>
        <v>19120</v>
      </c>
      <c r="F10" s="29" t="str">
        <f t="shared" si="3"/>
        <v>Excellent</v>
      </c>
      <c r="G10" s="24"/>
      <c r="H10" s="35">
        <v>2390</v>
      </c>
      <c r="I10" s="36">
        <v>1830</v>
      </c>
      <c r="J10" s="36">
        <v>1300</v>
      </c>
      <c r="K10" s="36">
        <v>975</v>
      </c>
      <c r="L10" s="36">
        <v>595</v>
      </c>
      <c r="M10" s="40" t="s">
        <v>55</v>
      </c>
    </row>
    <row r="11" spans="2:13" ht="13.8" x14ac:dyDescent="0.3">
      <c r="B11" s="39" t="s">
        <v>56</v>
      </c>
      <c r="C11" s="38">
        <f t="shared" si="0"/>
        <v>8</v>
      </c>
      <c r="D11" s="34" t="s">
        <v>57</v>
      </c>
      <c r="E11" s="34" t="s">
        <v>57</v>
      </c>
      <c r="F11" s="29" t="str">
        <f t="shared" si="3"/>
        <v>Excellent</v>
      </c>
      <c r="G11" s="24"/>
      <c r="H11" s="35">
        <v>1540</v>
      </c>
      <c r="I11" s="36">
        <v>1120</v>
      </c>
      <c r="J11" s="36">
        <v>695</v>
      </c>
      <c r="K11" s="36">
        <v>460</v>
      </c>
      <c r="L11" s="36">
        <v>0</v>
      </c>
      <c r="M11" s="40" t="s">
        <v>56</v>
      </c>
    </row>
    <row r="12" spans="2:13" ht="14.25" customHeight="1" x14ac:dyDescent="0.3">
      <c r="B12" s="39" t="s">
        <v>58</v>
      </c>
      <c r="C12" s="38">
        <f t="shared" si="0"/>
        <v>8</v>
      </c>
      <c r="D12" s="34">
        <f t="shared" si="1"/>
        <v>4050</v>
      </c>
      <c r="E12" s="34">
        <f t="shared" si="2"/>
        <v>32400</v>
      </c>
      <c r="F12" s="29" t="str">
        <f t="shared" si="3"/>
        <v>Excellent</v>
      </c>
      <c r="G12" s="24"/>
      <c r="H12" s="35">
        <v>4050</v>
      </c>
      <c r="I12" s="36">
        <v>3025</v>
      </c>
      <c r="J12" s="36">
        <v>2100</v>
      </c>
      <c r="K12" s="36">
        <v>1450</v>
      </c>
      <c r="L12" s="36">
        <v>810</v>
      </c>
      <c r="M12" s="40" t="s">
        <v>59</v>
      </c>
    </row>
    <row r="13" spans="2:13" ht="13.8" x14ac:dyDescent="0.3">
      <c r="B13" s="32" t="s">
        <v>60</v>
      </c>
      <c r="C13" s="38">
        <f t="shared" si="0"/>
        <v>8</v>
      </c>
      <c r="D13" s="34" t="s">
        <v>57</v>
      </c>
      <c r="E13" s="34" t="s">
        <v>57</v>
      </c>
      <c r="F13" s="29" t="s">
        <v>61</v>
      </c>
      <c r="G13" s="24"/>
      <c r="H13" s="35">
        <v>5300</v>
      </c>
      <c r="I13" s="36">
        <v>4725</v>
      </c>
      <c r="J13" s="36">
        <v>3700</v>
      </c>
      <c r="K13" s="36">
        <v>2900</v>
      </c>
      <c r="L13" s="36">
        <v>2170</v>
      </c>
      <c r="M13" s="37" t="s">
        <v>60</v>
      </c>
    </row>
    <row r="14" spans="2:13" ht="14.25" customHeight="1" x14ac:dyDescent="0.3">
      <c r="B14" s="41" t="s">
        <v>62</v>
      </c>
      <c r="C14" s="42">
        <f t="shared" si="0"/>
        <v>8</v>
      </c>
      <c r="D14" s="43">
        <f t="shared" si="1"/>
        <v>3225</v>
      </c>
      <c r="E14" s="44">
        <f>C14*D14</f>
        <v>25800</v>
      </c>
      <c r="F14" s="45" t="str">
        <f t="shared" si="3"/>
        <v>Excellent</v>
      </c>
      <c r="G14" s="24"/>
      <c r="H14" s="35">
        <v>3225</v>
      </c>
      <c r="I14" s="36">
        <v>2250</v>
      </c>
      <c r="J14" s="36">
        <v>1260</v>
      </c>
      <c r="K14" s="36">
        <v>780</v>
      </c>
      <c r="L14" s="36">
        <v>323</v>
      </c>
      <c r="M14" s="37" t="s">
        <v>62</v>
      </c>
    </row>
    <row r="15" spans="2:13" ht="13.5" customHeight="1" x14ac:dyDescent="0.3">
      <c r="B15" s="46" t="s">
        <v>63</v>
      </c>
      <c r="C15" s="47"/>
      <c r="D15" s="48">
        <f>SUM(D5:D14)</f>
        <v>23950</v>
      </c>
      <c r="E15" s="48">
        <f>SUM(E5:E14)</f>
        <v>191600</v>
      </c>
      <c r="F15" s="29"/>
      <c r="G15" s="24"/>
      <c r="H15" s="49"/>
      <c r="I15" s="49"/>
      <c r="J15" s="49"/>
      <c r="K15" s="49"/>
      <c r="L15" s="49"/>
      <c r="M15" s="49"/>
    </row>
    <row r="16" spans="2:13" ht="15" customHeight="1" x14ac:dyDescent="0.3">
      <c r="H16" s="51">
        <f t="shared" ref="H16:K16" si="4">SUM(H5:H14)</f>
        <v>30790</v>
      </c>
      <c r="I16" s="51">
        <f t="shared" si="4"/>
        <v>23605</v>
      </c>
      <c r="J16" s="51">
        <f t="shared" si="4"/>
        <v>16515</v>
      </c>
      <c r="K16" s="51">
        <f t="shared" si="4"/>
        <v>11840</v>
      </c>
      <c r="L16" s="51">
        <f>SUM(L5:L14)</f>
        <v>7052</v>
      </c>
      <c r="M16" s="52"/>
    </row>
    <row r="17" spans="2:6" ht="14.25" customHeight="1" x14ac:dyDescent="0.3">
      <c r="B17" s="53" t="s">
        <v>64</v>
      </c>
      <c r="C17" s="54" t="s">
        <v>65</v>
      </c>
      <c r="D17" s="55" t="s">
        <v>66</v>
      </c>
      <c r="E17" s="56"/>
      <c r="F17" s="54" t="s">
        <v>67</v>
      </c>
    </row>
    <row r="18" spans="2:6" ht="14.25" customHeight="1" x14ac:dyDescent="0.3">
      <c r="B18" s="57" t="s">
        <v>68</v>
      </c>
      <c r="C18" s="58" t="s">
        <v>69</v>
      </c>
      <c r="D18" s="59">
        <v>1.07</v>
      </c>
      <c r="E18" s="59">
        <f t="shared" ref="E18:E22" si="5">D18</f>
        <v>1.07</v>
      </c>
      <c r="F18" s="29" t="s">
        <v>70</v>
      </c>
    </row>
    <row r="19" spans="2:6" ht="14.25" customHeight="1" x14ac:dyDescent="0.3">
      <c r="B19" s="57" t="s">
        <v>71</v>
      </c>
      <c r="C19" s="58" t="str">
        <f>'[1]Excel Input'!C6</f>
        <v>Subject City</v>
      </c>
      <c r="D19" s="59">
        <v>0.94</v>
      </c>
      <c r="E19" s="59">
        <f t="shared" si="5"/>
        <v>0.94</v>
      </c>
      <c r="F19" s="29" t="s">
        <v>70</v>
      </c>
    </row>
    <row r="20" spans="2:6" ht="14.25" customHeight="1" x14ac:dyDescent="0.3">
      <c r="B20" s="32" t="s">
        <v>72</v>
      </c>
      <c r="C20" s="58">
        <f>C5</f>
        <v>8</v>
      </c>
      <c r="D20" s="59">
        <v>1.18</v>
      </c>
      <c r="E20" s="59">
        <f t="shared" si="5"/>
        <v>1.18</v>
      </c>
      <c r="F20" s="29" t="s">
        <v>70</v>
      </c>
    </row>
    <row r="21" spans="2:6" ht="14.25" customHeight="1" x14ac:dyDescent="0.3">
      <c r="B21" s="32" t="s">
        <v>73</v>
      </c>
      <c r="C21" s="60">
        <f>'[1]ToT (Intake Form)'!C19/'[1]ToT (Intake Form)'!C53</f>
        <v>201465</v>
      </c>
      <c r="D21" s="59">
        <v>0.97</v>
      </c>
      <c r="E21" s="59">
        <f t="shared" si="5"/>
        <v>0.97</v>
      </c>
      <c r="F21" s="29" t="s">
        <v>70</v>
      </c>
    </row>
    <row r="22" spans="2:6" ht="14.25" customHeight="1" x14ac:dyDescent="0.3">
      <c r="B22" s="61" t="s">
        <v>74</v>
      </c>
      <c r="C22" s="62"/>
      <c r="D22" s="63">
        <v>1</v>
      </c>
      <c r="E22" s="63">
        <f t="shared" si="5"/>
        <v>1</v>
      </c>
      <c r="F22" s="64" t="s">
        <v>74</v>
      </c>
    </row>
    <row r="23" spans="2:6" ht="14.25" customHeight="1" x14ac:dyDescent="0.3">
      <c r="B23" s="65" t="s">
        <v>75</v>
      </c>
      <c r="C23" s="66"/>
      <c r="D23" s="67">
        <f>D18*D19*D20*D21*D22</f>
        <v>1.1512386800000001</v>
      </c>
      <c r="E23" s="68">
        <f>D23</f>
        <v>1.1512386800000001</v>
      </c>
      <c r="F23" s="29"/>
    </row>
    <row r="24" spans="2:6" ht="14.25" customHeight="1" x14ac:dyDescent="0.3">
      <c r="B24" s="32"/>
      <c r="C24" s="38"/>
      <c r="D24" s="69"/>
      <c r="E24" s="70"/>
      <c r="F24" s="29"/>
    </row>
    <row r="25" spans="2:6" ht="14.25" customHeight="1" x14ac:dyDescent="0.3">
      <c r="B25" s="53" t="s">
        <v>76</v>
      </c>
      <c r="C25" s="71" t="s">
        <v>38</v>
      </c>
      <c r="D25" s="71" t="s">
        <v>77</v>
      </c>
      <c r="E25" s="71" t="s">
        <v>78</v>
      </c>
      <c r="F25" s="54" t="s">
        <v>41</v>
      </c>
    </row>
    <row r="26" spans="2:6" ht="14.25" customHeight="1" x14ac:dyDescent="0.3">
      <c r="B26" s="32" t="s">
        <v>48</v>
      </c>
      <c r="C26" s="38">
        <f t="shared" ref="C26:C33" si="6">C5</f>
        <v>8</v>
      </c>
      <c r="D26" s="34">
        <f>$D$23*D5</f>
        <v>2935.6586340000003</v>
      </c>
      <c r="E26" s="34">
        <f>$E$23*E5</f>
        <v>23485.269072000003</v>
      </c>
      <c r="F26" s="29" t="str">
        <f t="shared" ref="F26:F35" si="7">F5</f>
        <v>Excellent</v>
      </c>
    </row>
    <row r="27" spans="2:6" ht="14.25" customHeight="1" x14ac:dyDescent="0.3">
      <c r="B27" s="32" t="s">
        <v>49</v>
      </c>
      <c r="C27" s="38">
        <f t="shared" si="6"/>
        <v>8</v>
      </c>
      <c r="D27" s="34">
        <f t="shared" ref="D27:D31" si="8">$D$23*D6</f>
        <v>2797.5099924000001</v>
      </c>
      <c r="E27" s="34">
        <f>$E$23*E6</f>
        <v>22380.079939200001</v>
      </c>
      <c r="F27" s="29" t="str">
        <f t="shared" si="7"/>
        <v>Excellent</v>
      </c>
    </row>
    <row r="28" spans="2:6" ht="14.25" customHeight="1" x14ac:dyDescent="0.3">
      <c r="B28" s="32" t="s">
        <v>51</v>
      </c>
      <c r="C28" s="38">
        <f t="shared" si="6"/>
        <v>8</v>
      </c>
      <c r="D28" s="34">
        <f t="shared" si="8"/>
        <v>4230.8021490000001</v>
      </c>
      <c r="E28" s="34">
        <f t="shared" ref="E28:E35" si="9">$E$23*E7</f>
        <v>33846.417192000001</v>
      </c>
      <c r="F28" s="29" t="str">
        <f t="shared" si="7"/>
        <v>Excellent</v>
      </c>
    </row>
    <row r="29" spans="2:6" ht="14.25" customHeight="1" x14ac:dyDescent="0.3">
      <c r="B29" s="32" t="s">
        <v>52</v>
      </c>
      <c r="C29" s="38">
        <f t="shared" si="6"/>
        <v>8</v>
      </c>
      <c r="D29" s="34">
        <f t="shared" si="8"/>
        <v>3683.9637760000001</v>
      </c>
      <c r="E29" s="34">
        <f t="shared" si="9"/>
        <v>29471.710208</v>
      </c>
      <c r="F29" s="29" t="str">
        <f t="shared" si="7"/>
        <v>Excellent</v>
      </c>
    </row>
    <row r="30" spans="2:6" ht="14.25" customHeight="1" x14ac:dyDescent="0.3">
      <c r="B30" s="32" t="s">
        <v>54</v>
      </c>
      <c r="C30" s="38">
        <f t="shared" si="6"/>
        <v>8</v>
      </c>
      <c r="D30" s="34">
        <f t="shared" si="8"/>
        <v>2797.5099924000001</v>
      </c>
      <c r="E30" s="34">
        <f t="shared" si="9"/>
        <v>22380.079939200001</v>
      </c>
      <c r="F30" s="29" t="str">
        <f t="shared" si="7"/>
        <v>Excellent</v>
      </c>
    </row>
    <row r="31" spans="2:6" ht="14.25" customHeight="1" x14ac:dyDescent="0.3">
      <c r="B31" s="39" t="s">
        <v>55</v>
      </c>
      <c r="C31" s="38">
        <f t="shared" si="6"/>
        <v>8</v>
      </c>
      <c r="D31" s="34">
        <f t="shared" si="8"/>
        <v>2751.4604452000003</v>
      </c>
      <c r="E31" s="34">
        <f t="shared" si="9"/>
        <v>22011.683561600003</v>
      </c>
      <c r="F31" s="29" t="str">
        <f t="shared" si="7"/>
        <v>Excellent</v>
      </c>
    </row>
    <row r="32" spans="2:6" ht="13.8" x14ac:dyDescent="0.3">
      <c r="B32" s="39" t="s">
        <v>56</v>
      </c>
      <c r="C32" s="38">
        <f t="shared" si="6"/>
        <v>8</v>
      </c>
      <c r="D32" s="34" t="str">
        <f>D11</f>
        <v>N/A</v>
      </c>
      <c r="E32" s="34" t="str">
        <f>E11</f>
        <v>N/A</v>
      </c>
      <c r="F32" s="29" t="str">
        <f t="shared" si="7"/>
        <v>Excellent</v>
      </c>
    </row>
    <row r="33" spans="2:6" ht="13.8" x14ac:dyDescent="0.3">
      <c r="B33" s="39" t="s">
        <v>59</v>
      </c>
      <c r="C33" s="38">
        <f t="shared" si="6"/>
        <v>8</v>
      </c>
      <c r="D33" s="34">
        <f t="shared" ref="D33" si="10">$D$23*D12</f>
        <v>4662.516654</v>
      </c>
      <c r="E33" s="34">
        <f t="shared" si="9"/>
        <v>37300.133232</v>
      </c>
      <c r="F33" s="29" t="str">
        <f t="shared" si="7"/>
        <v>Excellent</v>
      </c>
    </row>
    <row r="34" spans="2:6" ht="13.8" x14ac:dyDescent="0.3">
      <c r="B34" s="32" t="str">
        <f t="shared" ref="B34:C35" si="11">B13</f>
        <v>Buildings</v>
      </c>
      <c r="C34" s="38">
        <f t="shared" si="11"/>
        <v>8</v>
      </c>
      <c r="D34" s="34" t="str">
        <f>D13</f>
        <v>N/A</v>
      </c>
      <c r="E34" s="34" t="str">
        <f>E13</f>
        <v>N/A</v>
      </c>
      <c r="F34" s="29" t="str">
        <f t="shared" si="7"/>
        <v>Separate Calc.</v>
      </c>
    </row>
    <row r="35" spans="2:6" ht="14.25" customHeight="1" x14ac:dyDescent="0.3">
      <c r="B35" s="41" t="str">
        <f t="shared" si="11"/>
        <v>Miscellaneous</v>
      </c>
      <c r="C35" s="72">
        <f t="shared" si="11"/>
        <v>8</v>
      </c>
      <c r="D35" s="44">
        <f t="shared" ref="D35" si="12">$D$23*D14</f>
        <v>3712.7447430000002</v>
      </c>
      <c r="E35" s="43">
        <f t="shared" si="9"/>
        <v>29701.957944000002</v>
      </c>
      <c r="F35" s="29" t="str">
        <f t="shared" si="7"/>
        <v>Excellent</v>
      </c>
    </row>
    <row r="36" spans="2:6" ht="14.25" customHeight="1" x14ac:dyDescent="0.3">
      <c r="B36" s="53" t="s">
        <v>79</v>
      </c>
      <c r="C36" s="71"/>
      <c r="D36" s="48">
        <f>SUM(D26:D35)</f>
        <v>27572.166386000001</v>
      </c>
      <c r="E36" s="48">
        <f>SUM(E26:E35)</f>
        <v>220577.33108800001</v>
      </c>
      <c r="F36" s="73"/>
    </row>
    <row r="37" spans="2:6" ht="14.25" customHeight="1" x14ac:dyDescent="0.3">
      <c r="B37" s="53"/>
      <c r="C37" s="71"/>
      <c r="D37" s="48"/>
      <c r="E37" s="48"/>
      <c r="F37" s="29"/>
    </row>
    <row r="38" spans="2:6" ht="14.25" customHeight="1" x14ac:dyDescent="0.3">
      <c r="B38" s="74" t="s">
        <v>80</v>
      </c>
      <c r="C38" s="75" t="s">
        <v>81</v>
      </c>
      <c r="D38" s="76" t="s">
        <v>82</v>
      </c>
      <c r="E38" s="76" t="s">
        <v>40</v>
      </c>
      <c r="F38" s="77" t="s">
        <v>67</v>
      </c>
    </row>
    <row r="39" spans="2:6" ht="82.8" x14ac:dyDescent="0.3">
      <c r="B39" s="78" t="str">
        <f>'[1]ToT (Intake Form)'!C42</f>
        <v>Cabin 1</v>
      </c>
      <c r="C39" s="79">
        <f>'[1]ToT (Intake Form)'!C41</f>
        <v>1</v>
      </c>
      <c r="D39" s="80">
        <v>120000</v>
      </c>
      <c r="E39" s="81">
        <f>C39*D39</f>
        <v>120000</v>
      </c>
      <c r="F39" s="82" t="str">
        <f>'[1]ToT (Intake Form)'!C43</f>
        <v>399 SF park model with a queen bed, a bedroom with a bunk bed, living area, full, kitchen, full bathroom, and covered porch.</v>
      </c>
    </row>
    <row r="40" spans="2:6" ht="14.25" customHeight="1" x14ac:dyDescent="0.3">
      <c r="B40" s="24" t="str">
        <f>'[1]ToT (Intake Form)'!C45</f>
        <v>Cabin 2</v>
      </c>
      <c r="C40" s="70">
        <f>'[1]ToT (Intake Form)'!C44</f>
        <v>1</v>
      </c>
      <c r="D40" s="83">
        <v>90000</v>
      </c>
      <c r="E40" s="84">
        <f t="shared" ref="E40:E41" si="13">C40*D40</f>
        <v>90000</v>
      </c>
      <c r="F40" s="29" t="str">
        <f>'[1]ToT (Intake Form)'!C46</f>
        <v>Unit Description</v>
      </c>
    </row>
    <row r="41" spans="2:6" ht="14.25" customHeight="1" x14ac:dyDescent="0.3">
      <c r="B41" s="85" t="str">
        <f>'[1]ToT (Intake Form)'!C48</f>
        <v>Cabin 3</v>
      </c>
      <c r="C41" s="86">
        <f>'[1]ToT (Intake Form)'!C47</f>
        <v>1</v>
      </c>
      <c r="D41" s="87">
        <v>110000</v>
      </c>
      <c r="E41" s="88">
        <f t="shared" si="13"/>
        <v>110000</v>
      </c>
      <c r="F41" s="45" t="str">
        <f>'[1]ToT (Intake Form)'!C49</f>
        <v>Unit Description</v>
      </c>
    </row>
    <row r="42" spans="2:6" ht="14.25" customHeight="1" x14ac:dyDescent="0.3">
      <c r="B42" s="53" t="s">
        <v>83</v>
      </c>
      <c r="C42" s="71">
        <f>SUM(C39:C41)</f>
        <v>3</v>
      </c>
      <c r="D42" s="89"/>
      <c r="E42" s="90">
        <f>SUM(E39:E41)</f>
        <v>320000</v>
      </c>
      <c r="F42" s="29"/>
    </row>
    <row r="43" spans="2:6" ht="14.25" customHeight="1" x14ac:dyDescent="0.3">
      <c r="B43" s="85"/>
      <c r="C43" s="86"/>
      <c r="D43" s="91"/>
      <c r="E43" s="88"/>
      <c r="F43" s="45"/>
    </row>
    <row r="44" spans="2:6" ht="14.25" customHeight="1" x14ac:dyDescent="0.3">
      <c r="B44" s="53" t="s">
        <v>84</v>
      </c>
      <c r="C44" s="71"/>
      <c r="D44" s="92"/>
      <c r="E44" s="48">
        <f>SUM(E36,E39:E41)</f>
        <v>540577.33108799998</v>
      </c>
      <c r="F44" s="29"/>
    </row>
    <row r="45" spans="2:6" ht="14.25" customHeight="1" x14ac:dyDescent="0.3">
      <c r="B45" s="53"/>
      <c r="C45" s="71"/>
      <c r="D45" s="92"/>
      <c r="E45" s="48"/>
      <c r="F45" s="29"/>
    </row>
    <row r="46" spans="2:6" ht="14.25" customHeight="1" x14ac:dyDescent="0.3">
      <c r="B46" s="93"/>
      <c r="C46" s="94"/>
      <c r="D46" s="94"/>
      <c r="E46" s="94"/>
      <c r="F46" s="29"/>
    </row>
    <row r="47" spans="2:6" ht="14.25" customHeight="1" x14ac:dyDescent="0.3">
      <c r="B47" s="53"/>
      <c r="C47" s="71"/>
      <c r="D47" s="48"/>
      <c r="E47" s="48"/>
      <c r="F47" s="54"/>
    </row>
    <row r="48" spans="2:6" ht="14.25" customHeight="1" x14ac:dyDescent="0.3">
      <c r="B48" s="24"/>
      <c r="C48" s="70"/>
      <c r="D48" s="34"/>
      <c r="E48" s="95"/>
      <c r="F48" s="29"/>
    </row>
    <row r="49" spans="2:6" ht="14.25" customHeight="1" x14ac:dyDescent="0.3">
      <c r="B49" s="96"/>
      <c r="C49" s="97"/>
      <c r="D49" s="98"/>
      <c r="E49" s="99"/>
      <c r="F49" s="100"/>
    </row>
    <row r="50" spans="2:6" ht="14.25" customHeight="1" x14ac:dyDescent="0.3">
      <c r="B50" s="24"/>
      <c r="C50" s="70"/>
      <c r="E50" s="34"/>
      <c r="F50" s="29"/>
    </row>
    <row r="51" spans="2:6" ht="14.25" customHeight="1" x14ac:dyDescent="0.3">
      <c r="B51" s="53"/>
      <c r="C51" s="71"/>
      <c r="D51" s="92"/>
      <c r="E51" s="48"/>
      <c r="F51" s="29"/>
    </row>
    <row r="69" spans="2:7" ht="14.25" customHeight="1" x14ac:dyDescent="0.3">
      <c r="B69" s="101"/>
      <c r="C69" s="102"/>
      <c r="D69" s="102"/>
      <c r="E69" s="102"/>
      <c r="F69" s="102"/>
      <c r="G69" s="102"/>
    </row>
  </sheetData>
  <mergeCells count="3">
    <mergeCell ref="H3:M3"/>
    <mergeCell ref="D17:E17"/>
    <mergeCell ref="B69:G69"/>
  </mergeCells>
  <dataValidations count="1">
    <dataValidation type="list" allowBlank="1" showInputMessage="1" showErrorMessage="1" sqref="F2" xr:uid="{56E506D5-6C55-4179-9609-6F9FB4DB89EA}">
      <formula1>$H$4:$L$4</formula1>
    </dataValidation>
  </dataValidation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2B032-405F-495C-8815-4A310C7D2693}">
  <sheetPr codeName="Sheet22">
    <tabColor rgb="FF980000"/>
  </sheetPr>
  <dimension ref="B2:T53"/>
  <sheetViews>
    <sheetView showGridLines="0" topLeftCell="A7" zoomScaleNormal="100" workbookViewId="0">
      <selection sqref="A1:XFD1048576"/>
    </sheetView>
  </sheetViews>
  <sheetFormatPr defaultColWidth="14.44140625" defaultRowHeight="15" customHeight="1" x14ac:dyDescent="0.3"/>
  <cols>
    <col min="1" max="1" width="3" style="16" customWidth="1"/>
    <col min="2" max="2" width="34.6640625" style="16" customWidth="1"/>
    <col min="3" max="3" width="9" style="17" customWidth="1"/>
    <col min="4" max="4" width="9.88671875" style="17" customWidth="1"/>
    <col min="5" max="5" width="12.44140625" style="17" customWidth="1"/>
    <col min="6" max="6" width="34.5546875" style="16" customWidth="1"/>
    <col min="7" max="7" width="2.88671875" style="16" customWidth="1"/>
    <col min="8" max="29" width="8.88671875" style="16" customWidth="1"/>
    <col min="30" max="16384" width="14.44140625" style="16"/>
  </cols>
  <sheetData>
    <row r="2" spans="2:6" ht="14.25" customHeight="1" x14ac:dyDescent="0.3">
      <c r="B2" s="21" t="s">
        <v>85</v>
      </c>
      <c r="C2" s="103" t="s">
        <v>86</v>
      </c>
      <c r="D2" s="103" t="s">
        <v>87</v>
      </c>
      <c r="E2" s="103" t="s">
        <v>40</v>
      </c>
      <c r="F2" s="23" t="s">
        <v>67</v>
      </c>
    </row>
    <row r="3" spans="2:6" ht="14.25" customHeight="1" x14ac:dyDescent="0.3">
      <c r="B3" s="24" t="s">
        <v>88</v>
      </c>
      <c r="C3" s="104">
        <f>'[1]Excel Input'!C49</f>
        <v>3000</v>
      </c>
      <c r="D3" s="84">
        <v>300</v>
      </c>
      <c r="E3" s="105">
        <f>C3*D3</f>
        <v>900000</v>
      </c>
      <c r="F3" s="100" t="s">
        <v>89</v>
      </c>
    </row>
    <row r="4" spans="2:6" ht="13.8" x14ac:dyDescent="0.3">
      <c r="B4" s="106" t="s">
        <v>90</v>
      </c>
      <c r="C4" s="107">
        <v>5500</v>
      </c>
      <c r="D4" s="108">
        <f>E4/C4</f>
        <v>109.09090909090909</v>
      </c>
      <c r="E4" s="109">
        <v>600000</v>
      </c>
      <c r="F4" s="100" t="s">
        <v>91</v>
      </c>
    </row>
    <row r="5" spans="2:6" ht="13.8" x14ac:dyDescent="0.3">
      <c r="B5" s="106" t="s">
        <v>92</v>
      </c>
      <c r="C5" s="107">
        <v>2249</v>
      </c>
      <c r="D5" s="89">
        <f>E5/C5</f>
        <v>56.669630947087597</v>
      </c>
      <c r="E5" s="108">
        <f>(2249*50)+15000</f>
        <v>127450</v>
      </c>
      <c r="F5" s="100" t="s">
        <v>91</v>
      </c>
    </row>
    <row r="6" spans="2:6" ht="13.8" x14ac:dyDescent="0.3">
      <c r="B6" s="106" t="s">
        <v>93</v>
      </c>
      <c r="C6" s="107">
        <v>4</v>
      </c>
      <c r="D6" s="108"/>
      <c r="E6" s="109">
        <f>25000*4</f>
        <v>100000</v>
      </c>
      <c r="F6" s="100" t="s">
        <v>91</v>
      </c>
    </row>
    <row r="7" spans="2:6" ht="13.8" x14ac:dyDescent="0.3">
      <c r="B7" s="106" t="s">
        <v>94</v>
      </c>
      <c r="C7" s="107">
        <v>500</v>
      </c>
      <c r="D7" s="108">
        <v>125</v>
      </c>
      <c r="E7" s="109">
        <f>D7*C7</f>
        <v>62500</v>
      </c>
      <c r="F7" s="100" t="s">
        <v>91</v>
      </c>
    </row>
    <row r="8" spans="2:6" ht="13.8" x14ac:dyDescent="0.3">
      <c r="B8" s="16" t="s">
        <v>95</v>
      </c>
      <c r="C8" s="107">
        <v>750</v>
      </c>
      <c r="D8" s="108">
        <v>50</v>
      </c>
      <c r="E8" s="109">
        <f>D8*C8</f>
        <v>37500</v>
      </c>
      <c r="F8" s="100" t="s">
        <v>91</v>
      </c>
    </row>
    <row r="9" spans="2:6" ht="13.8" x14ac:dyDescent="0.3">
      <c r="B9" s="16" t="s">
        <v>96</v>
      </c>
      <c r="C9" s="107">
        <v>2000</v>
      </c>
      <c r="D9" s="108">
        <v>300</v>
      </c>
      <c r="E9" s="109">
        <f>D9*C9</f>
        <v>600000</v>
      </c>
      <c r="F9" s="100" t="s">
        <v>91</v>
      </c>
    </row>
    <row r="10" spans="2:6" ht="13.8" x14ac:dyDescent="0.3">
      <c r="B10" s="16" t="s">
        <v>97</v>
      </c>
      <c r="C10" s="107">
        <v>1</v>
      </c>
      <c r="D10" s="108"/>
      <c r="E10" s="109">
        <v>400000</v>
      </c>
      <c r="F10" s="100" t="s">
        <v>91</v>
      </c>
    </row>
    <row r="11" spans="2:6" ht="13.8" x14ac:dyDescent="0.3">
      <c r="B11" s="16" t="s">
        <v>98</v>
      </c>
      <c r="C11" s="107">
        <v>1</v>
      </c>
      <c r="D11" s="108"/>
      <c r="E11" s="109">
        <v>35000</v>
      </c>
      <c r="F11" s="100" t="s">
        <v>91</v>
      </c>
    </row>
    <row r="12" spans="2:6" ht="13.8" x14ac:dyDescent="0.3">
      <c r="B12" s="16" t="s">
        <v>99</v>
      </c>
      <c r="C12" s="107">
        <v>1800</v>
      </c>
      <c r="D12" s="108">
        <v>100</v>
      </c>
      <c r="E12" s="109">
        <f>D12*C12</f>
        <v>180000</v>
      </c>
      <c r="F12" s="100" t="s">
        <v>91</v>
      </c>
    </row>
    <row r="13" spans="2:6" ht="13.8" x14ac:dyDescent="0.3">
      <c r="B13" s="16" t="s">
        <v>100</v>
      </c>
      <c r="C13" s="107">
        <v>4500</v>
      </c>
      <c r="D13" s="108">
        <v>25</v>
      </c>
      <c r="E13" s="109">
        <f>D13*C13</f>
        <v>112500</v>
      </c>
      <c r="F13" s="100" t="s">
        <v>91</v>
      </c>
    </row>
    <row r="14" spans="2:6" ht="14.25" customHeight="1" x14ac:dyDescent="0.3">
      <c r="B14" s="16" t="s">
        <v>101</v>
      </c>
      <c r="C14" s="107">
        <v>1</v>
      </c>
      <c r="D14" s="108"/>
      <c r="E14" s="109">
        <v>2000</v>
      </c>
      <c r="F14" s="100" t="s">
        <v>91</v>
      </c>
    </row>
    <row r="15" spans="2:6" ht="15" customHeight="1" x14ac:dyDescent="0.3">
      <c r="B15" s="110" t="s">
        <v>102</v>
      </c>
      <c r="C15" s="111">
        <f>SUM(C2:C13)</f>
        <v>20305</v>
      </c>
      <c r="D15" s="112">
        <f>E15/C15</f>
        <v>155.37798571780348</v>
      </c>
      <c r="E15" s="112">
        <f>SUM(E2:E13)</f>
        <v>3154950</v>
      </c>
      <c r="F15" s="113"/>
    </row>
    <row r="17" spans="2:20" ht="13.5" customHeight="1" x14ac:dyDescent="0.3">
      <c r="C17" s="89"/>
      <c r="D17" s="114"/>
      <c r="E17" s="89"/>
      <c r="G17" s="106"/>
      <c r="H17" s="115"/>
      <c r="I17" s="106"/>
      <c r="J17" s="24"/>
    </row>
    <row r="18" spans="2:20" ht="14.25" customHeight="1" x14ac:dyDescent="0.3">
      <c r="B18" s="116" t="s">
        <v>103</v>
      </c>
      <c r="C18" s="48"/>
      <c r="D18" s="48"/>
      <c r="E18" s="48"/>
      <c r="F18" s="29"/>
      <c r="G18" s="24"/>
      <c r="H18" s="24"/>
      <c r="I18" s="24"/>
      <c r="J18" s="24"/>
    </row>
    <row r="19" spans="2:20" ht="14.25" customHeight="1" x14ac:dyDescent="0.3">
      <c r="B19" s="53"/>
      <c r="C19" s="34"/>
      <c r="D19" s="34"/>
      <c r="E19" s="34"/>
      <c r="F19" s="29"/>
      <c r="G19" s="24"/>
      <c r="H19" s="24"/>
      <c r="I19" s="24"/>
      <c r="J19" s="24"/>
    </row>
    <row r="20" spans="2:20" ht="14.25" customHeight="1" x14ac:dyDescent="0.3">
      <c r="B20" s="53"/>
      <c r="C20" s="34"/>
      <c r="D20" s="34"/>
      <c r="E20" s="34"/>
      <c r="F20" s="29"/>
      <c r="G20" s="24"/>
      <c r="H20" s="24"/>
      <c r="I20" s="24"/>
    </row>
    <row r="21" spans="2:20" ht="14.25" customHeight="1" x14ac:dyDescent="0.3">
      <c r="B21" s="21" t="s">
        <v>104</v>
      </c>
      <c r="C21" s="23"/>
      <c r="D21" s="117"/>
      <c r="E21" s="118" t="s">
        <v>40</v>
      </c>
      <c r="F21" s="119"/>
      <c r="G21" s="24"/>
      <c r="H21" s="24"/>
      <c r="I21" s="24"/>
    </row>
    <row r="22" spans="2:20" ht="14.25" customHeight="1" x14ac:dyDescent="0.3">
      <c r="B22" s="24" t="s">
        <v>105</v>
      </c>
      <c r="C22" s="24"/>
      <c r="D22" s="120"/>
      <c r="E22" s="120">
        <f>'Site Dev Cost'!E39</f>
        <v>120000</v>
      </c>
      <c r="F22" s="106"/>
      <c r="G22" s="24"/>
      <c r="H22" s="121" t="s">
        <v>106</v>
      </c>
      <c r="I22" s="122"/>
      <c r="J22" s="123"/>
      <c r="K22" s="123"/>
      <c r="L22" s="123"/>
      <c r="M22" s="123"/>
      <c r="N22" s="123"/>
      <c r="O22" s="123"/>
      <c r="P22" s="123"/>
      <c r="Q22" s="123"/>
      <c r="R22" s="123"/>
      <c r="S22" s="123"/>
      <c r="T22" s="123"/>
    </row>
    <row r="23" spans="2:20" ht="14.25" customHeight="1" x14ac:dyDescent="0.3">
      <c r="B23" s="24" t="s">
        <v>107</v>
      </c>
      <c r="C23" s="24"/>
      <c r="D23" s="120"/>
      <c r="E23" s="120">
        <f>'Total Proj. Cost'!D10</f>
        <v>434368.75</v>
      </c>
      <c r="F23" s="106"/>
      <c r="G23" s="24"/>
      <c r="H23" s="24"/>
      <c r="I23" s="24"/>
    </row>
    <row r="24" spans="2:20" ht="4.2" customHeight="1" x14ac:dyDescent="0.3">
      <c r="B24" s="85"/>
      <c r="C24" s="85"/>
      <c r="D24" s="124"/>
      <c r="E24" s="124"/>
      <c r="F24" s="106"/>
    </row>
    <row r="25" spans="2:20" ht="14.25" customHeight="1" x14ac:dyDescent="0.3">
      <c r="B25" s="24" t="s">
        <v>108</v>
      </c>
      <c r="C25" s="24"/>
      <c r="D25" s="120"/>
      <c r="E25" s="120">
        <f>E22+E23+E24</f>
        <v>554368.75</v>
      </c>
      <c r="F25" s="106"/>
    </row>
    <row r="26" spans="2:20" ht="14.25" customHeight="1" x14ac:dyDescent="0.3">
      <c r="J26" s="53" t="s">
        <v>109</v>
      </c>
    </row>
    <row r="27" spans="2:20" ht="14.25" customHeight="1" x14ac:dyDescent="0.3">
      <c r="J27" s="125" t="s">
        <v>110</v>
      </c>
    </row>
    <row r="28" spans="2:20" ht="14.25" customHeight="1" x14ac:dyDescent="0.3">
      <c r="J28" s="125" t="s">
        <v>111</v>
      </c>
    </row>
    <row r="29" spans="2:20" ht="14.25" customHeight="1" x14ac:dyDescent="0.3">
      <c r="J29" s="125" t="s">
        <v>112</v>
      </c>
    </row>
    <row r="30" spans="2:20" ht="14.25" customHeight="1" x14ac:dyDescent="0.3">
      <c r="J30" s="126" t="s">
        <v>113</v>
      </c>
    </row>
    <row r="31" spans="2:20" ht="14.25" customHeight="1" x14ac:dyDescent="0.3">
      <c r="J31" s="126" t="s">
        <v>114</v>
      </c>
    </row>
    <row r="32" spans="2:20" ht="14.25" customHeight="1" x14ac:dyDescent="0.3">
      <c r="J32" s="126" t="s">
        <v>115</v>
      </c>
    </row>
    <row r="33" spans="10:10" ht="14.25" customHeight="1" x14ac:dyDescent="0.3">
      <c r="J33" s="126" t="s">
        <v>116</v>
      </c>
    </row>
    <row r="34" spans="10:10" ht="15" customHeight="1" x14ac:dyDescent="0.3">
      <c r="J34" s="126" t="s">
        <v>117</v>
      </c>
    </row>
    <row r="35" spans="10:10" ht="15" customHeight="1" x14ac:dyDescent="0.3">
      <c r="J35" s="126" t="s">
        <v>118</v>
      </c>
    </row>
    <row r="36" spans="10:10" ht="15" customHeight="1" x14ac:dyDescent="0.3">
      <c r="J36" s="126" t="s">
        <v>119</v>
      </c>
    </row>
    <row r="37" spans="10:10" ht="15" customHeight="1" x14ac:dyDescent="0.3">
      <c r="J37" s="126" t="s">
        <v>120</v>
      </c>
    </row>
    <row r="38" spans="10:10" ht="15" customHeight="1" x14ac:dyDescent="0.3">
      <c r="J38" s="125" t="s">
        <v>121</v>
      </c>
    </row>
    <row r="39" spans="10:10" ht="15" customHeight="1" x14ac:dyDescent="0.3">
      <c r="J39" s="24" t="s">
        <v>122</v>
      </c>
    </row>
    <row r="53" spans="2:7" ht="14.25" customHeight="1" x14ac:dyDescent="0.3">
      <c r="B53" s="101"/>
      <c r="C53" s="102"/>
      <c r="D53" s="102"/>
      <c r="E53" s="102"/>
      <c r="F53" s="102"/>
      <c r="G53" s="102"/>
    </row>
  </sheetData>
  <mergeCells count="1">
    <mergeCell ref="B53:G53"/>
  </mergeCells>
  <hyperlinks>
    <hyperlink ref="J30" r:id="rId1" display="https://www.zookcabins.com/cabin/aspen/" xr:uid="{D1868E6C-6128-4301-88C2-11B521EEF1DB}"/>
    <hyperlink ref="J31" r:id="rId2" display="https://www.zookcabins.com/cabin/studio" xr:uid="{322EE2F4-D012-4383-9C0B-B03056C02A5B}"/>
    <hyperlink ref="J32" r:id="rId3" display="https://www.zookcabins.com/cabin/cascade" xr:uid="{0AFBA47D-B60F-4010-A99A-E8B317A89CF6}"/>
    <hyperlink ref="J33" r:id="rId4" display="https://www.zookcabins.com/choose-your-cabin-style/log-cabins/park-model-homes/pocono-park-model-cabin/" xr:uid="{42ED963E-AB5B-4A8F-9226-51A6F14AAB61}"/>
    <hyperlink ref="J34" r:id="rId5" display="https://www.zookcabins.com/cabin/luxury-park-model-home/" xr:uid="{44174C2C-ADE9-4FB3-8627-02613A30AC25}"/>
    <hyperlink ref="J35" r:id="rId6" display="https://www.zookcabins.com/cabin/alpine-park-model-rv/" xr:uid="{481BD66C-1EE9-4B45-B911-31774F7205DA}"/>
    <hyperlink ref="J36" r:id="rId7" display="https://www.zookcabins.com/cabin/a-frame-park-model-home/" xr:uid="{CF4EF5F8-724E-42B6-A779-9C98ABCDC403}"/>
    <hyperlink ref="J37" r:id="rId8" display="https://www.zookcabins.com/cabin/luna" xr:uid="{C85DF055-C8F2-40F5-A460-ECAF179CFD04}"/>
  </hyperlinks>
  <pageMargins left="0.7" right="0.7" top="0.75" bottom="0.75" header="0" footer="0"/>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27FB-D90D-4656-A6E7-9D084B4A41E1}">
  <sheetPr codeName="Sheet24">
    <tabColor rgb="FF980000"/>
  </sheetPr>
  <dimension ref="B2:M51"/>
  <sheetViews>
    <sheetView showGridLines="0" topLeftCell="A5" workbookViewId="0">
      <selection sqref="A1:XFD1048576"/>
    </sheetView>
  </sheetViews>
  <sheetFormatPr defaultColWidth="14.44140625" defaultRowHeight="15" customHeight="1" x14ac:dyDescent="0.3"/>
  <cols>
    <col min="1" max="1" width="1.5546875" style="16" customWidth="1"/>
    <col min="2" max="2" width="40.44140625" style="16" customWidth="1"/>
    <col min="3" max="3" width="10.88671875" style="16" bestFit="1" customWidth="1"/>
    <col min="4" max="4" width="11.109375" style="16" customWidth="1"/>
    <col min="5" max="5" width="11.6640625" style="16" customWidth="1"/>
    <col min="6" max="6" width="18.21875" style="16" bestFit="1" customWidth="1"/>
    <col min="7" max="7" width="2" style="16" customWidth="1"/>
    <col min="8" max="8" width="11.44140625" style="16" bestFit="1" customWidth="1"/>
    <col min="9" max="29" width="8.88671875" style="16" customWidth="1"/>
    <col min="30" max="16384" width="14.44140625" style="16"/>
  </cols>
  <sheetData>
    <row r="2" spans="2:13" ht="14.25" customHeight="1" x14ac:dyDescent="0.3">
      <c r="B2" s="21" t="s">
        <v>123</v>
      </c>
      <c r="C2" s="127" t="s">
        <v>124</v>
      </c>
      <c r="D2" s="103" t="s">
        <v>40</v>
      </c>
      <c r="E2" s="118" t="s">
        <v>125</v>
      </c>
      <c r="F2" s="23" t="s">
        <v>67</v>
      </c>
    </row>
    <row r="3" spans="2:13" ht="14.25" customHeight="1" x14ac:dyDescent="0.3">
      <c r="B3" s="128" t="s">
        <v>126</v>
      </c>
      <c r="C3" s="129">
        <f>'Site Dev Cost'!C4</f>
        <v>8</v>
      </c>
      <c r="H3" s="130" t="s">
        <v>127</v>
      </c>
    </row>
    <row r="4" spans="2:13" ht="14.25" customHeight="1" x14ac:dyDescent="0.3">
      <c r="B4" s="16" t="s">
        <v>128</v>
      </c>
      <c r="C4" s="89">
        <f>D4/C3</f>
        <v>27572.166386000001</v>
      </c>
      <c r="D4" s="89">
        <f>'Site Dev Cost'!E36</f>
        <v>220577.33108800001</v>
      </c>
      <c r="E4" s="131">
        <f>D4/D8</f>
        <v>5.9687647073377169E-2</v>
      </c>
      <c r="H4" s="132"/>
    </row>
    <row r="5" spans="2:13" ht="14.25" customHeight="1" x14ac:dyDescent="0.3">
      <c r="B5" s="128" t="s">
        <v>129</v>
      </c>
      <c r="C5" s="133">
        <f>SUM('[1]ToT (Intake Form)'!C41,'[1]ToT (Intake Form)'!C44,'[1]ToT (Intake Form)'!C47)</f>
        <v>3</v>
      </c>
      <c r="D5" s="89"/>
      <c r="E5" s="131"/>
      <c r="H5" s="130" t="s">
        <v>130</v>
      </c>
    </row>
    <row r="6" spans="2:13" ht="14.25" customHeight="1" x14ac:dyDescent="0.3">
      <c r="B6" s="128" t="s">
        <v>131</v>
      </c>
      <c r="C6" s="134">
        <f>D6/C5</f>
        <v>106666.66666666667</v>
      </c>
      <c r="D6" s="134">
        <f>'Site Dev Cost'!E42</f>
        <v>320000</v>
      </c>
      <c r="E6" s="135">
        <f>D6/D7</f>
        <v>0.10142791486394397</v>
      </c>
      <c r="H6" s="130" t="s">
        <v>130</v>
      </c>
    </row>
    <row r="7" spans="2:13" ht="13.5" customHeight="1" x14ac:dyDescent="0.3">
      <c r="B7" s="136" t="s">
        <v>132</v>
      </c>
      <c r="C7" s="137">
        <f>D7/C3</f>
        <v>394368.75</v>
      </c>
      <c r="D7" s="137">
        <f>'Add. Bldg Improv.'!E15</f>
        <v>3154950</v>
      </c>
      <c r="E7" s="138">
        <f>D7/D8</f>
        <v>0.85372119249653911</v>
      </c>
      <c r="F7" s="136"/>
    </row>
    <row r="8" spans="2:13" ht="14.25" customHeight="1" x14ac:dyDescent="0.3">
      <c r="B8" s="53" t="s">
        <v>133</v>
      </c>
      <c r="C8" s="48">
        <f>D8/C3</f>
        <v>461940.916386</v>
      </c>
      <c r="D8" s="48">
        <f>SUM(D3:D7)</f>
        <v>3695527.331088</v>
      </c>
      <c r="E8" s="139">
        <f>D8/D8</f>
        <v>1</v>
      </c>
    </row>
    <row r="9" spans="2:13" ht="14.25" customHeight="1" x14ac:dyDescent="0.3">
      <c r="B9" s="53"/>
      <c r="C9" s="48"/>
      <c r="D9" s="48"/>
      <c r="E9" s="139"/>
    </row>
    <row r="10" spans="2:13" ht="14.25" customHeight="1" x14ac:dyDescent="0.3">
      <c r="B10" s="24" t="s">
        <v>134</v>
      </c>
      <c r="C10" s="140">
        <v>0.125</v>
      </c>
      <c r="D10" s="34">
        <f>(D7+D6)*C10</f>
        <v>434368.75</v>
      </c>
      <c r="E10" s="141"/>
      <c r="H10" s="142"/>
    </row>
    <row r="11" spans="2:13" ht="14.25" customHeight="1" x14ac:dyDescent="0.3">
      <c r="B11" s="24" t="s">
        <v>135</v>
      </c>
      <c r="C11" s="143">
        <v>0.1</v>
      </c>
      <c r="D11" s="34">
        <f>C11*D8</f>
        <v>369552.73310880002</v>
      </c>
      <c r="E11" s="141"/>
      <c r="F11" s="29" t="str">
        <f t="shared" ref="F11:F12" si="0">F12</f>
        <v>Industry Average</v>
      </c>
    </row>
    <row r="12" spans="2:13" ht="14.25" customHeight="1" x14ac:dyDescent="0.3">
      <c r="B12" s="24" t="s">
        <v>136</v>
      </c>
      <c r="C12" s="143">
        <v>0.1</v>
      </c>
      <c r="D12" s="34">
        <f>D8*C12</f>
        <v>369552.73310880002</v>
      </c>
      <c r="E12" s="141"/>
      <c r="F12" s="29" t="str">
        <f t="shared" si="0"/>
        <v>Industry Average</v>
      </c>
    </row>
    <row r="13" spans="2:13" ht="14.25" customHeight="1" x14ac:dyDescent="0.3">
      <c r="B13" s="24" t="s">
        <v>137</v>
      </c>
      <c r="C13" s="34">
        <f>D13/'Site Dev Cost'!C4</f>
        <v>13858.227491579999</v>
      </c>
      <c r="D13" s="144">
        <f>0.03*D8</f>
        <v>110865.81993263999</v>
      </c>
      <c r="E13" s="141"/>
      <c r="F13" s="29" t="s">
        <v>138</v>
      </c>
      <c r="H13" s="145" t="s">
        <v>139</v>
      </c>
      <c r="J13" s="146" t="s">
        <v>140</v>
      </c>
    </row>
    <row r="14" spans="2:13" ht="13.8" x14ac:dyDescent="0.3">
      <c r="B14" s="24" t="s">
        <v>141</v>
      </c>
      <c r="C14" s="147"/>
      <c r="D14" s="144">
        <f ca="1">IFERROR([1]IRR!M27,0)</f>
        <v>1021027.9802122802</v>
      </c>
      <c r="E14" s="141">
        <f t="shared" ref="E14:E15" ca="1" si="1">D14/$D$16</f>
        <v>9.5415191632122559E-2</v>
      </c>
      <c r="F14" s="29" t="s">
        <v>138</v>
      </c>
      <c r="H14" s="145" t="s">
        <v>142</v>
      </c>
      <c r="I14" s="145"/>
      <c r="J14" s="145"/>
      <c r="K14" s="145"/>
      <c r="L14" s="145"/>
      <c r="M14" s="145"/>
    </row>
    <row r="15" spans="2:13" ht="14.25" customHeight="1" x14ac:dyDescent="0.3">
      <c r="B15" s="148" t="s">
        <v>143</v>
      </c>
      <c r="C15" s="149">
        <f>D15/C3</f>
        <v>587500</v>
      </c>
      <c r="D15" s="149">
        <f>'[1]ToT (Intake Form)'!C74</f>
        <v>4700000</v>
      </c>
      <c r="E15" s="150">
        <f t="shared" ca="1" si="1"/>
        <v>0.43921558406042827</v>
      </c>
      <c r="F15" s="151" t="s">
        <v>144</v>
      </c>
    </row>
    <row r="16" spans="2:13" ht="14.25" customHeight="1" x14ac:dyDescent="0.3">
      <c r="B16" s="53" t="s">
        <v>145</v>
      </c>
      <c r="C16" s="48">
        <f ca="1">D16/C3</f>
        <v>1337611.9184313151</v>
      </c>
      <c r="D16" s="152">
        <f ca="1">SUM(D8:D15)</f>
        <v>10700895.347450521</v>
      </c>
      <c r="E16" s="153">
        <f ca="1">D16/D16</f>
        <v>1</v>
      </c>
      <c r="F16" s="29"/>
    </row>
    <row r="51" spans="2:7" ht="14.25" customHeight="1" x14ac:dyDescent="0.3">
      <c r="B51" s="101"/>
      <c r="C51" s="102"/>
      <c r="D51" s="102"/>
      <c r="E51" s="102"/>
      <c r="F51" s="102"/>
      <c r="G51" s="102"/>
    </row>
  </sheetData>
  <mergeCells count="1">
    <mergeCell ref="B51:G51"/>
  </mergeCells>
  <pageMargins left="0.7" right="0.7" top="0.75" bottom="0.75" header="0" footer="0"/>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339F-7988-4D7B-8CF4-213F15BF3F88}">
  <sheetPr codeName="Sheet34">
    <tabColor rgb="FF980000"/>
  </sheetPr>
  <dimension ref="B1:Z33"/>
  <sheetViews>
    <sheetView showGridLines="0" zoomScaleNormal="100" workbookViewId="0">
      <selection sqref="A1:XFD1048576"/>
    </sheetView>
  </sheetViews>
  <sheetFormatPr defaultColWidth="8.88671875" defaultRowHeight="14.4" x14ac:dyDescent="0.3"/>
  <cols>
    <col min="1" max="1" width="2.44140625" style="154" customWidth="1"/>
    <col min="2" max="2" width="0.6640625" style="154" customWidth="1"/>
    <col min="3" max="3" width="19.88671875" style="154" customWidth="1"/>
    <col min="4" max="4" width="10.88671875" style="154" bestFit="1" customWidth="1"/>
    <col min="5" max="5" width="8.44140625" style="154" customWidth="1"/>
    <col min="6" max="6" width="5.21875" style="154" customWidth="1"/>
    <col min="7" max="7" width="10.88671875" style="154" customWidth="1"/>
    <col min="8" max="8" width="8.44140625" style="154" customWidth="1"/>
    <col min="9" max="9" width="5.21875" style="154" customWidth="1"/>
    <col min="10" max="10" width="10.77734375" style="154" customWidth="1"/>
    <col min="11" max="11" width="8.44140625" style="154" customWidth="1"/>
    <col min="12" max="12" width="5.21875" style="154" customWidth="1"/>
    <col min="13" max="13" width="10.88671875" style="154" customWidth="1"/>
    <col min="14" max="14" width="8.44140625" style="154" customWidth="1"/>
    <col min="15" max="15" width="5.21875" style="154" customWidth="1"/>
    <col min="16" max="16" width="10.88671875" style="154" customWidth="1"/>
    <col min="17" max="17" width="8.44140625" style="154" customWidth="1"/>
    <col min="18" max="18" width="5.21875" style="154" customWidth="1"/>
    <col min="19" max="19" width="10.88671875" style="154" bestFit="1" customWidth="1"/>
    <col min="20" max="20" width="8.44140625" style="154" bestFit="1" customWidth="1"/>
    <col min="21" max="21" width="5.33203125" style="154" customWidth="1"/>
    <col min="22" max="22" width="2.5546875" style="154" customWidth="1"/>
    <col min="23" max="23" width="10.88671875" style="154" bestFit="1" customWidth="1"/>
    <col min="24" max="24" width="10" style="154" bestFit="1" customWidth="1"/>
    <col min="25" max="25" width="9" style="154" bestFit="1" customWidth="1"/>
    <col min="26" max="26" width="9.109375" style="154" customWidth="1"/>
    <col min="27" max="16384" width="8.88671875" style="154"/>
  </cols>
  <sheetData>
    <row r="1" spans="2:26" ht="7.2" customHeight="1" x14ac:dyDescent="0.3"/>
    <row r="2" spans="2:26" x14ac:dyDescent="0.3">
      <c r="B2" s="155" t="s">
        <v>146</v>
      </c>
      <c r="C2" s="156"/>
      <c r="D2" s="156"/>
      <c r="E2" s="156"/>
      <c r="F2" s="156"/>
      <c r="G2" s="156"/>
      <c r="H2" s="156"/>
      <c r="I2" s="156"/>
      <c r="J2" s="156"/>
      <c r="K2" s="156"/>
      <c r="L2" s="156"/>
      <c r="M2" s="156"/>
      <c r="N2" s="156"/>
      <c r="O2" s="156"/>
      <c r="P2" s="156"/>
      <c r="Q2" s="156"/>
      <c r="R2" s="156"/>
      <c r="S2" s="156"/>
      <c r="T2" s="156"/>
      <c r="U2" s="157"/>
    </row>
    <row r="3" spans="2:26" ht="5.4" customHeight="1" x14ac:dyDescent="0.3">
      <c r="B3" s="158"/>
      <c r="C3" s="159"/>
      <c r="D3" s="160"/>
      <c r="E3" s="161"/>
      <c r="F3" s="161"/>
      <c r="G3" s="160"/>
      <c r="H3" s="161"/>
      <c r="I3" s="161"/>
      <c r="J3" s="160"/>
      <c r="K3" s="161"/>
      <c r="L3" s="161"/>
      <c r="M3" s="160"/>
      <c r="N3" s="161"/>
      <c r="O3" s="161"/>
      <c r="P3" s="160"/>
      <c r="Q3" s="161"/>
      <c r="R3" s="162"/>
      <c r="S3" s="161"/>
      <c r="T3" s="161"/>
      <c r="U3" s="162"/>
    </row>
    <row r="4" spans="2:26" x14ac:dyDescent="0.3">
      <c r="B4" s="163"/>
      <c r="C4" s="164"/>
      <c r="D4" s="165">
        <v>1</v>
      </c>
      <c r="E4" s="166"/>
      <c r="F4" s="166"/>
      <c r="G4" s="165">
        <v>2</v>
      </c>
      <c r="H4" s="166"/>
      <c r="I4" s="166"/>
      <c r="J4" s="165">
        <v>3</v>
      </c>
      <c r="K4" s="166"/>
      <c r="L4" s="166"/>
      <c r="M4" s="165">
        <v>4</v>
      </c>
      <c r="N4" s="166"/>
      <c r="O4" s="166"/>
      <c r="P4" s="165">
        <v>5</v>
      </c>
      <c r="Q4" s="167"/>
      <c r="R4" s="168"/>
      <c r="S4" s="165">
        <v>6</v>
      </c>
      <c r="T4" s="167"/>
      <c r="U4" s="168"/>
    </row>
    <row r="5" spans="2:26" ht="6.6" customHeight="1" x14ac:dyDescent="0.3">
      <c r="B5" s="163"/>
      <c r="C5" s="164"/>
      <c r="D5" s="165"/>
      <c r="E5" s="166"/>
      <c r="F5" s="166"/>
      <c r="G5" s="165"/>
      <c r="H5" s="166"/>
      <c r="I5" s="166"/>
      <c r="J5" s="165"/>
      <c r="K5" s="166"/>
      <c r="L5" s="166"/>
      <c r="M5" s="165"/>
      <c r="N5" s="166"/>
      <c r="O5" s="166"/>
      <c r="P5" s="165"/>
      <c r="Q5" s="167"/>
      <c r="R5" s="168"/>
      <c r="S5" s="165"/>
      <c r="T5" s="167"/>
      <c r="U5" s="168"/>
    </row>
    <row r="6" spans="2:26" x14ac:dyDescent="0.3">
      <c r="B6" s="169"/>
      <c r="C6" s="170" t="s">
        <v>147</v>
      </c>
      <c r="D6" s="171" t="s">
        <v>148</v>
      </c>
      <c r="E6" s="172"/>
      <c r="F6" s="172"/>
      <c r="G6" s="171" t="s">
        <v>149</v>
      </c>
      <c r="H6" s="172"/>
      <c r="I6" s="172"/>
      <c r="J6" s="171" t="s">
        <v>149</v>
      </c>
      <c r="K6" s="172"/>
      <c r="L6" s="172"/>
      <c r="M6" s="171" t="s">
        <v>149</v>
      </c>
      <c r="N6" s="172"/>
      <c r="O6" s="172"/>
      <c r="P6" s="171" t="s">
        <v>150</v>
      </c>
      <c r="Q6" s="173"/>
      <c r="R6" s="174"/>
      <c r="S6" s="171" t="s">
        <v>150</v>
      </c>
      <c r="T6" s="173"/>
      <c r="U6" s="174"/>
      <c r="Z6" s="175"/>
    </row>
    <row r="7" spans="2:26" x14ac:dyDescent="0.3">
      <c r="B7" s="169"/>
      <c r="C7" s="170" t="s">
        <v>151</v>
      </c>
      <c r="D7" s="176" t="s">
        <v>152</v>
      </c>
      <c r="E7" s="177"/>
      <c r="F7" s="177"/>
      <c r="G7" s="176" t="s">
        <v>153</v>
      </c>
      <c r="H7" s="177"/>
      <c r="I7" s="177"/>
      <c r="J7" s="176" t="s">
        <v>152</v>
      </c>
      <c r="K7" s="178"/>
      <c r="L7" s="178"/>
      <c r="M7" s="176" t="s">
        <v>153</v>
      </c>
      <c r="N7" s="177"/>
      <c r="O7" s="177"/>
      <c r="P7" s="176" t="s">
        <v>153</v>
      </c>
      <c r="Q7" s="179"/>
      <c r="R7" s="180"/>
      <c r="S7" s="176" t="s">
        <v>154</v>
      </c>
      <c r="T7" s="179"/>
      <c r="U7" s="180"/>
    </row>
    <row r="8" spans="2:26" x14ac:dyDescent="0.3">
      <c r="B8" s="169"/>
      <c r="C8" s="170" t="s">
        <v>155</v>
      </c>
      <c r="D8" s="176" t="s">
        <v>153</v>
      </c>
      <c r="E8" s="177"/>
      <c r="F8" s="177"/>
      <c r="G8" s="176" t="s">
        <v>153</v>
      </c>
      <c r="H8" s="177"/>
      <c r="I8" s="177"/>
      <c r="J8" s="176" t="s">
        <v>154</v>
      </c>
      <c r="K8" s="178"/>
      <c r="L8" s="178"/>
      <c r="M8" s="176" t="s">
        <v>153</v>
      </c>
      <c r="N8" s="177"/>
      <c r="O8" s="177"/>
      <c r="P8" s="176" t="s">
        <v>153</v>
      </c>
      <c r="Q8" s="179"/>
      <c r="R8" s="180"/>
      <c r="S8" s="181" t="s">
        <v>154</v>
      </c>
      <c r="T8" s="179"/>
      <c r="U8" s="180"/>
    </row>
    <row r="9" spans="2:26" x14ac:dyDescent="0.3">
      <c r="B9" s="163"/>
      <c r="C9" s="170" t="s">
        <v>156</v>
      </c>
      <c r="D9" s="182">
        <v>2024</v>
      </c>
      <c r="E9" s="183"/>
      <c r="F9" s="183"/>
      <c r="G9" s="184">
        <v>2023</v>
      </c>
      <c r="H9" s="183"/>
      <c r="I9" s="183"/>
      <c r="J9" s="184">
        <v>2021</v>
      </c>
      <c r="K9" s="178"/>
      <c r="L9" s="178"/>
      <c r="M9" s="184">
        <v>2021</v>
      </c>
      <c r="N9" s="179"/>
      <c r="O9" s="179"/>
      <c r="P9" s="184">
        <v>2024</v>
      </c>
      <c r="Q9" s="183"/>
      <c r="R9" s="185"/>
      <c r="S9" s="184">
        <v>2024</v>
      </c>
      <c r="T9" s="183"/>
      <c r="U9" s="185"/>
    </row>
    <row r="10" spans="2:26" x14ac:dyDescent="0.3">
      <c r="B10" s="163"/>
      <c r="C10" s="170" t="s">
        <v>157</v>
      </c>
      <c r="D10" s="186">
        <v>0.03</v>
      </c>
      <c r="E10" s="187"/>
      <c r="F10" s="187"/>
      <c r="G10" s="186">
        <v>6.0379222978516722E-2</v>
      </c>
      <c r="H10" s="187"/>
      <c r="I10" s="187"/>
      <c r="J10" s="186">
        <v>0.19238170277152444</v>
      </c>
      <c r="K10" s="188"/>
      <c r="L10" s="188"/>
      <c r="M10" s="186">
        <f>J10</f>
        <v>0.19238170277152444</v>
      </c>
      <c r="N10" s="189"/>
      <c r="O10" s="189"/>
      <c r="P10" s="186">
        <f>D10</f>
        <v>0.03</v>
      </c>
      <c r="Q10" s="183"/>
      <c r="R10" s="185"/>
      <c r="S10" s="186">
        <v>0.03</v>
      </c>
      <c r="T10" s="183"/>
      <c r="U10" s="185"/>
    </row>
    <row r="11" spans="2:26" ht="1.8" customHeight="1" x14ac:dyDescent="0.3">
      <c r="B11" s="163"/>
      <c r="C11" s="170"/>
      <c r="D11" s="190">
        <f>D10+1</f>
        <v>1.03</v>
      </c>
      <c r="E11" s="191"/>
      <c r="F11" s="191"/>
      <c r="G11" s="190">
        <f>G10+1</f>
        <v>1.0603792229785167</v>
      </c>
      <c r="H11" s="192"/>
      <c r="I11" s="192"/>
      <c r="J11" s="190">
        <f>J10+1</f>
        <v>1.1923817027715244</v>
      </c>
      <c r="K11" s="192"/>
      <c r="L11" s="192"/>
      <c r="M11" s="190">
        <f>M10+1</f>
        <v>1.1923817027715244</v>
      </c>
      <c r="N11" s="191"/>
      <c r="O11" s="191"/>
      <c r="P11" s="190">
        <f>P10+1</f>
        <v>1.03</v>
      </c>
      <c r="Q11" s="193"/>
      <c r="R11" s="194"/>
      <c r="S11" s="190">
        <f>S10+1</f>
        <v>1.03</v>
      </c>
      <c r="T11" s="193"/>
      <c r="U11" s="194"/>
    </row>
    <row r="12" spans="2:26" x14ac:dyDescent="0.3">
      <c r="B12" s="163"/>
      <c r="C12" s="170" t="s">
        <v>158</v>
      </c>
      <c r="D12" s="195">
        <v>141</v>
      </c>
      <c r="E12" s="177"/>
      <c r="F12" s="177"/>
      <c r="G12" s="195">
        <v>102</v>
      </c>
      <c r="H12" s="177"/>
      <c r="I12" s="177"/>
      <c r="J12" s="195">
        <v>248</v>
      </c>
      <c r="K12" s="177"/>
      <c r="L12" s="177"/>
      <c r="M12" s="195">
        <v>400</v>
      </c>
      <c r="N12" s="177"/>
      <c r="O12" s="177"/>
      <c r="P12" s="195">
        <v>138</v>
      </c>
      <c r="Q12" s="193"/>
      <c r="R12" s="194"/>
      <c r="S12" s="195">
        <v>149</v>
      </c>
      <c r="T12" s="193"/>
      <c r="U12" s="194"/>
    </row>
    <row r="13" spans="2:26" x14ac:dyDescent="0.3">
      <c r="B13" s="196"/>
      <c r="C13" s="170" t="s">
        <v>159</v>
      </c>
      <c r="D13" s="195">
        <v>141</v>
      </c>
      <c r="E13" s="177"/>
      <c r="F13" s="177"/>
      <c r="G13" s="195">
        <v>102</v>
      </c>
      <c r="H13" s="177"/>
      <c r="I13" s="177"/>
      <c r="J13" s="195">
        <v>152</v>
      </c>
      <c r="K13" s="177"/>
      <c r="L13" s="177"/>
      <c r="M13" s="195">
        <v>280</v>
      </c>
      <c r="N13" s="177"/>
      <c r="O13" s="177"/>
      <c r="P13" s="195">
        <v>123</v>
      </c>
      <c r="Q13" s="193"/>
      <c r="R13" s="194"/>
      <c r="S13" s="195">
        <v>149</v>
      </c>
      <c r="T13" s="193"/>
      <c r="U13" s="194"/>
    </row>
    <row r="14" spans="2:26" x14ac:dyDescent="0.3">
      <c r="B14" s="196"/>
      <c r="C14" s="170" t="s">
        <v>160</v>
      </c>
      <c r="D14" s="195">
        <f>D12-D13</f>
        <v>0</v>
      </c>
      <c r="E14" s="177"/>
      <c r="F14" s="177"/>
      <c r="G14" s="195">
        <f>G12-G13</f>
        <v>0</v>
      </c>
      <c r="H14" s="177"/>
      <c r="I14" s="177"/>
      <c r="J14" s="195">
        <f>J12-J13</f>
        <v>96</v>
      </c>
      <c r="K14" s="177"/>
      <c r="L14" s="177"/>
      <c r="M14" s="195">
        <f>M12-M13</f>
        <v>120</v>
      </c>
      <c r="N14" s="177"/>
      <c r="O14" s="177"/>
      <c r="P14" s="195">
        <f>P12-P13</f>
        <v>15</v>
      </c>
      <c r="Q14" s="193"/>
      <c r="R14" s="194"/>
      <c r="S14" s="195">
        <f>S12-S13</f>
        <v>0</v>
      </c>
      <c r="T14" s="193"/>
      <c r="U14" s="194"/>
    </row>
    <row r="15" spans="2:26" x14ac:dyDescent="0.3">
      <c r="B15" s="163"/>
      <c r="C15" s="197"/>
      <c r="D15" s="198"/>
      <c r="E15" s="199"/>
      <c r="F15" s="199"/>
      <c r="G15" s="200"/>
      <c r="H15" s="177"/>
      <c r="I15" s="177"/>
      <c r="J15" s="201" t="s">
        <v>161</v>
      </c>
      <c r="K15" s="199"/>
      <c r="L15" s="199"/>
      <c r="M15" s="198"/>
      <c r="N15" s="199"/>
      <c r="O15" s="199"/>
      <c r="P15" s="198"/>
      <c r="Q15" s="202"/>
      <c r="R15" s="203"/>
      <c r="S15" s="198"/>
      <c r="T15" s="202"/>
      <c r="U15" s="203"/>
    </row>
    <row r="16" spans="2:26" x14ac:dyDescent="0.3">
      <c r="B16" s="204"/>
      <c r="C16" s="205" t="s">
        <v>123</v>
      </c>
      <c r="D16" s="206" t="s">
        <v>162</v>
      </c>
      <c r="E16" s="207" t="s">
        <v>163</v>
      </c>
      <c r="F16" s="208" t="s">
        <v>125</v>
      </c>
      <c r="G16" s="206" t="s">
        <v>162</v>
      </c>
      <c r="H16" s="207" t="s">
        <v>163</v>
      </c>
      <c r="I16" s="208" t="s">
        <v>125</v>
      </c>
      <c r="J16" s="206" t="s">
        <v>40</v>
      </c>
      <c r="K16" s="207" t="s">
        <v>163</v>
      </c>
      <c r="L16" s="208" t="s">
        <v>125</v>
      </c>
      <c r="M16" s="206" t="s">
        <v>162</v>
      </c>
      <c r="N16" s="207" t="s">
        <v>163</v>
      </c>
      <c r="O16" s="208" t="s">
        <v>125</v>
      </c>
      <c r="P16" s="206" t="s">
        <v>162</v>
      </c>
      <c r="Q16" s="207" t="s">
        <v>163</v>
      </c>
      <c r="R16" s="208" t="s">
        <v>125</v>
      </c>
      <c r="S16" s="206" t="s">
        <v>162</v>
      </c>
      <c r="T16" s="207" t="s">
        <v>163</v>
      </c>
      <c r="U16" s="208" t="s">
        <v>125</v>
      </c>
    </row>
    <row r="17" spans="2:24" x14ac:dyDescent="0.3">
      <c r="B17" s="209"/>
      <c r="C17" s="210" t="s">
        <v>164</v>
      </c>
      <c r="D17" s="211"/>
      <c r="E17" s="212"/>
      <c r="F17" s="213"/>
      <c r="G17" s="211">
        <f>H17*G12</f>
        <v>4110029.8682647306</v>
      </c>
      <c r="H17" s="212">
        <f>38000*$G$11</f>
        <v>40294.410473183634</v>
      </c>
      <c r="I17" s="213">
        <f>G17/G20</f>
        <v>0.62556488056810844</v>
      </c>
      <c r="J17" s="211">
        <f>8992990*$J$11</f>
        <v>10723076.729207292</v>
      </c>
      <c r="K17" s="212">
        <f>J17/$J$12</f>
        <v>43238.212617771336</v>
      </c>
      <c r="L17" s="213">
        <f>J17/J20</f>
        <v>0.54462711008337505</v>
      </c>
      <c r="M17" s="211">
        <f>12904752*M11</f>
        <v>15387390.163604235</v>
      </c>
      <c r="N17" s="212">
        <f>M17/$M$12</f>
        <v>38468.475409010585</v>
      </c>
      <c r="O17" s="213">
        <f>M17/M20</f>
        <v>0.49859669540131274</v>
      </c>
      <c r="P17" s="211"/>
      <c r="Q17" s="212"/>
      <c r="R17" s="214"/>
      <c r="S17" s="211">
        <f>(5751283-60000-200000-350000-45000)*1.03</f>
        <v>5249171.49</v>
      </c>
      <c r="T17" s="212">
        <f>S17/S13</f>
        <v>35229.338859060401</v>
      </c>
      <c r="U17" s="214">
        <f>S17/S20</f>
        <v>0.93573598727792884</v>
      </c>
    </row>
    <row r="18" spans="2:24" x14ac:dyDescent="0.3">
      <c r="B18" s="209"/>
      <c r="C18" s="215" t="s">
        <v>165</v>
      </c>
      <c r="D18" s="216"/>
      <c r="E18" s="217"/>
      <c r="F18" s="218"/>
      <c r="G18" s="216">
        <f>(820000+1500000)*$G$11</f>
        <v>2460079.7973101586</v>
      </c>
      <c r="H18" s="217">
        <f>G18/$G$12</f>
        <v>24118.429385393712</v>
      </c>
      <c r="I18" s="218">
        <f>G18/G20</f>
        <v>0.37443511943189151</v>
      </c>
      <c r="J18" s="216">
        <f>(8778345-J19)*$J$11</f>
        <v>1161626.3098081227</v>
      </c>
      <c r="K18" s="217">
        <f t="shared" ref="K18" si="0">J18/$J$12</f>
        <v>4683.977055677914</v>
      </c>
      <c r="L18" s="218">
        <f>J18/J20</f>
        <v>5.899922159322106E-2</v>
      </c>
      <c r="M18" s="216">
        <f>(14755000-M19)*M11</f>
        <v>4456399.1084299255</v>
      </c>
      <c r="N18" s="217">
        <f t="shared" ref="N18:N26" si="1">M18/$M$12</f>
        <v>11140.997771074813</v>
      </c>
      <c r="O18" s="218">
        <f>M18/M20</f>
        <v>0.14440043732094879</v>
      </c>
      <c r="P18" s="216"/>
      <c r="Q18" s="217"/>
      <c r="R18" s="219"/>
      <c r="S18" s="216">
        <f>350000*1.03</f>
        <v>360500</v>
      </c>
      <c r="T18" s="217">
        <f>S18/S13</f>
        <v>2419.4630872483222</v>
      </c>
      <c r="U18" s="219">
        <f>S18/S20</f>
        <v>6.4264012722071176E-2</v>
      </c>
    </row>
    <row r="19" spans="2:24" x14ac:dyDescent="0.3">
      <c r="B19" s="220"/>
      <c r="C19" s="221" t="s">
        <v>166</v>
      </c>
      <c r="D19" s="222">
        <v>0</v>
      </c>
      <c r="E19" s="223">
        <v>0</v>
      </c>
      <c r="F19" s="218"/>
      <c r="G19" s="222">
        <v>0</v>
      </c>
      <c r="H19" s="223">
        <v>0</v>
      </c>
      <c r="I19" s="218"/>
      <c r="J19" s="211">
        <f>(85*77000)*$J$11</f>
        <v>7804138.2446396276</v>
      </c>
      <c r="K19" s="212">
        <f>J19/J14</f>
        <v>81293.106714996116</v>
      </c>
      <c r="L19" s="218">
        <f>J19/J20</f>
        <v>0.39637366832340404</v>
      </c>
      <c r="M19" s="211">
        <f>(120*77000)*M11</f>
        <v>11017606.933608886</v>
      </c>
      <c r="N19" s="212">
        <f>M19/M14</f>
        <v>91813.391113407386</v>
      </c>
      <c r="O19" s="218">
        <f>M19/M20</f>
        <v>0.35700286727773844</v>
      </c>
      <c r="P19" s="211"/>
      <c r="Q19" s="212"/>
      <c r="R19" s="214"/>
      <c r="S19" s="222">
        <v>0</v>
      </c>
      <c r="T19" s="223">
        <v>0</v>
      </c>
      <c r="U19" s="214"/>
    </row>
    <row r="20" spans="2:24" x14ac:dyDescent="0.3">
      <c r="B20" s="209"/>
      <c r="C20" s="224" t="s">
        <v>133</v>
      </c>
      <c r="D20" s="225">
        <f>16574904*$D$11</f>
        <v>17072151.120000001</v>
      </c>
      <c r="E20" s="226">
        <f>D20/$D$12</f>
        <v>121079.08595744682</v>
      </c>
      <c r="F20" s="227">
        <f>D20/D26</f>
        <v>0.92099260184445186</v>
      </c>
      <c r="G20" s="225">
        <f>SUM(G17:G19)</f>
        <v>6570109.6655748896</v>
      </c>
      <c r="H20" s="226">
        <f>G20/$G$12</f>
        <v>64412.839858577347</v>
      </c>
      <c r="I20" s="227">
        <f>G20/G26</f>
        <v>0.53219276647302383</v>
      </c>
      <c r="J20" s="225">
        <f>SUM(J17:J19)</f>
        <v>19688841.28365504</v>
      </c>
      <c r="K20" s="226">
        <f>J20/$J$12</f>
        <v>79390.489046996125</v>
      </c>
      <c r="L20" s="227">
        <f>J20/J26</f>
        <v>0.56144355142785451</v>
      </c>
      <c r="M20" s="225">
        <f>SUM(M17:M19)</f>
        <v>30861396.205643047</v>
      </c>
      <c r="N20" s="226">
        <f t="shared" si="1"/>
        <v>77153.490514107616</v>
      </c>
      <c r="O20" s="227">
        <f>M20/M26</f>
        <v>0.63800755572109114</v>
      </c>
      <c r="P20" s="225">
        <f>11603414*$P$11</f>
        <v>11951516.42</v>
      </c>
      <c r="Q20" s="226">
        <f>P20/$P$12</f>
        <v>86605.191449275357</v>
      </c>
      <c r="R20" s="227">
        <f>P20/P26</f>
        <v>0.71133544280323469</v>
      </c>
      <c r="S20" s="225">
        <f>S17+S18</f>
        <v>5609671.4900000002</v>
      </c>
      <c r="T20" s="226">
        <f>S20/S13</f>
        <v>37648.801946308726</v>
      </c>
      <c r="U20" s="227">
        <f>S20/S26</f>
        <v>0.69287544525366185</v>
      </c>
      <c r="W20" s="228"/>
      <c r="X20" s="229"/>
    </row>
    <row r="21" spans="2:24" x14ac:dyDescent="0.3">
      <c r="B21" s="209"/>
      <c r="C21" s="230" t="s">
        <v>167</v>
      </c>
      <c r="D21" s="211">
        <f>1421879*$D$11</f>
        <v>1464535.37</v>
      </c>
      <c r="E21" s="212">
        <f>D21/$D$12</f>
        <v>10386.775673758866</v>
      </c>
      <c r="F21" s="214">
        <f>D21/D26</f>
        <v>7.9007398155548136E-2</v>
      </c>
      <c r="G21" s="211">
        <f>(250000+204890)*$G$11</f>
        <v>482355.90474069747</v>
      </c>
      <c r="H21" s="212">
        <f>G21/$G$12</f>
        <v>4728.9794582421318</v>
      </c>
      <c r="I21" s="214">
        <f>G21/G26</f>
        <v>3.9071847569547097E-2</v>
      </c>
      <c r="J21" s="211">
        <f>2044315*$J$11</f>
        <v>2437603.8007013691</v>
      </c>
      <c r="K21" s="212">
        <f>J21/$J$12</f>
        <v>9829.0475834732624</v>
      </c>
      <c r="L21" s="214">
        <f>J21/J26</f>
        <v>6.9510283267708375E-2</v>
      </c>
      <c r="M21" s="211">
        <f>2185000*M11</f>
        <v>2605354.0205557807</v>
      </c>
      <c r="N21" s="212">
        <f t="shared" si="1"/>
        <v>6513.3850513894522</v>
      </c>
      <c r="O21" s="214">
        <f>M21/M26</f>
        <v>5.3861320445993593E-2</v>
      </c>
      <c r="P21" s="211">
        <f>988021*$P$11</f>
        <v>1017661.63</v>
      </c>
      <c r="Q21" s="212">
        <f t="shared" ref="Q21:Q25" si="2">P21/$P$12</f>
        <v>7374.3596376811593</v>
      </c>
      <c r="R21" s="214">
        <f>P21/P26</f>
        <v>6.0569618177365274E-2</v>
      </c>
      <c r="S21" s="211">
        <f>(1981624-662282)*1.03</f>
        <v>1358922.26</v>
      </c>
      <c r="T21" s="212">
        <f>S21/S13</f>
        <v>9120.283624161073</v>
      </c>
      <c r="U21" s="214">
        <f>S21/S26</f>
        <v>0.16784652499546143</v>
      </c>
    </row>
    <row r="22" spans="2:24" x14ac:dyDescent="0.3">
      <c r="B22" s="209"/>
      <c r="C22" s="230" t="s">
        <v>168</v>
      </c>
      <c r="D22" s="211"/>
      <c r="E22" s="212"/>
      <c r="F22" s="214"/>
      <c r="G22" s="211">
        <f>650000*$G$11</f>
        <v>689246.49493603583</v>
      </c>
      <c r="H22" s="212">
        <f>G22/$G$12</f>
        <v>6757.3185778042725</v>
      </c>
      <c r="I22" s="214">
        <f>G22/G26</f>
        <v>5.5830422564148718E-2</v>
      </c>
      <c r="J22" s="211">
        <f>58188*$J$11</f>
        <v>69382.306520869461</v>
      </c>
      <c r="K22" s="212">
        <f t="shared" ref="K22:K24" si="3">J22/$J$12</f>
        <v>279.76736500350592</v>
      </c>
      <c r="L22" s="231">
        <f>J22/J26</f>
        <v>1.9784937070761672E-3</v>
      </c>
      <c r="M22" s="211">
        <f>1000000*M11</f>
        <v>1192381.7027715244</v>
      </c>
      <c r="N22" s="212">
        <f t="shared" si="1"/>
        <v>2980.954256928811</v>
      </c>
      <c r="O22" s="214">
        <f>M22/M26</f>
        <v>2.4650489906633224E-2</v>
      </c>
      <c r="P22" s="211"/>
      <c r="Q22" s="212"/>
      <c r="R22" s="214"/>
      <c r="S22" s="211">
        <f>662282*1.03</f>
        <v>682150.46</v>
      </c>
      <c r="T22" s="212">
        <f>S22/S13</f>
        <v>4578.1910067114095</v>
      </c>
      <c r="U22" s="214">
        <f>S22/S26</f>
        <v>8.4255433592688014E-2</v>
      </c>
    </row>
    <row r="23" spans="2:24" x14ac:dyDescent="0.3">
      <c r="B23" s="209"/>
      <c r="C23" s="230" t="s">
        <v>137</v>
      </c>
      <c r="D23" s="211"/>
      <c r="E23" s="212"/>
      <c r="F23" s="214"/>
      <c r="G23" s="211">
        <f>2000008*$G$11</f>
        <v>2120766.9289908172</v>
      </c>
      <c r="H23" s="212">
        <f>G23/$G$12</f>
        <v>20791.832637164873</v>
      </c>
      <c r="I23" s="214">
        <f>G23/G26</f>
        <v>0.1717866027256584</v>
      </c>
      <c r="J23" s="211"/>
      <c r="K23" s="212"/>
      <c r="L23" s="214"/>
      <c r="M23" s="211"/>
      <c r="N23" s="212"/>
      <c r="O23" s="214"/>
      <c r="P23" s="211"/>
      <c r="Q23" s="212"/>
      <c r="R23" s="214"/>
      <c r="S23" s="211"/>
      <c r="T23" s="212"/>
      <c r="U23" s="214"/>
    </row>
    <row r="24" spans="2:24" x14ac:dyDescent="0.3">
      <c r="B24" s="209"/>
      <c r="C24" s="230" t="s">
        <v>169</v>
      </c>
      <c r="D24" s="211"/>
      <c r="E24" s="212"/>
      <c r="F24" s="214"/>
      <c r="G24" s="211"/>
      <c r="H24" s="212"/>
      <c r="I24" s="214"/>
      <c r="J24" s="211">
        <f>795553*$J$11</f>
        <v>948602.84078499454</v>
      </c>
      <c r="K24" s="212">
        <f t="shared" si="3"/>
        <v>3825.0114547782036</v>
      </c>
      <c r="L24" s="214">
        <f>J24/J26</f>
        <v>2.7050192550793394E-2</v>
      </c>
      <c r="M24" s="211">
        <f>1500000*M11</f>
        <v>1788572.5541572866</v>
      </c>
      <c r="N24" s="212">
        <f t="shared" si="1"/>
        <v>4471.4313853932163</v>
      </c>
      <c r="O24" s="214">
        <f>M24/M26</f>
        <v>3.6975734859949837E-2</v>
      </c>
      <c r="P24" s="211">
        <f>728780*$P$11</f>
        <v>750643.4</v>
      </c>
      <c r="Q24" s="212">
        <f t="shared" si="2"/>
        <v>5439.4449275362322</v>
      </c>
      <c r="R24" s="214">
        <f>P24/P26</f>
        <v>4.4677113477649022E-2</v>
      </c>
      <c r="S24" s="211"/>
      <c r="T24" s="212"/>
      <c r="U24" s="214"/>
    </row>
    <row r="25" spans="2:24" x14ac:dyDescent="0.3">
      <c r="B25" s="220"/>
      <c r="C25" s="210" t="s">
        <v>143</v>
      </c>
      <c r="D25" s="211"/>
      <c r="E25" s="212"/>
      <c r="F25" s="232"/>
      <c r="G25" s="211">
        <f>(2325000+16500)*$G$11</f>
        <v>2482877.9506041971</v>
      </c>
      <c r="H25" s="212">
        <f>G25/$G$12</f>
        <v>24341.940692198012</v>
      </c>
      <c r="I25" s="232">
        <f>G25/G26</f>
        <v>0.20111836066762193</v>
      </c>
      <c r="J25" s="211">
        <f>10000000*$J$11</f>
        <v>11923817.027715245</v>
      </c>
      <c r="K25" s="212">
        <f>J25/$J$12</f>
        <v>48079.907369819535</v>
      </c>
      <c r="L25" s="232">
        <f>J25/J26</f>
        <v>0.34001747904656754</v>
      </c>
      <c r="M25" s="211">
        <f>10000000*M11</f>
        <v>11923817.027715245</v>
      </c>
      <c r="N25" s="212">
        <f t="shared" si="1"/>
        <v>29809.542569288114</v>
      </c>
      <c r="O25" s="232">
        <f>M25/M26</f>
        <v>0.24650489906633227</v>
      </c>
      <c r="P25" s="211">
        <f>2991940*$P$11</f>
        <v>3081698.2</v>
      </c>
      <c r="Q25" s="212">
        <f t="shared" si="2"/>
        <v>22331.146376811597</v>
      </c>
      <c r="R25" s="214">
        <f>P25/P26</f>
        <v>0.1834178255417509</v>
      </c>
      <c r="S25" s="211">
        <f>432500*1.03</f>
        <v>445475</v>
      </c>
      <c r="T25" s="212">
        <f t="shared" ref="T25" si="4">S25/$P$12</f>
        <v>3228.0797101449275</v>
      </c>
      <c r="U25" s="214">
        <f>S25/S26</f>
        <v>5.5022596158188754E-2</v>
      </c>
    </row>
    <row r="26" spans="2:24" x14ac:dyDescent="0.3">
      <c r="B26" s="209"/>
      <c r="C26" s="233" t="s">
        <v>145</v>
      </c>
      <c r="D26" s="234">
        <f>SUM(D20:D25)</f>
        <v>18536686.490000002</v>
      </c>
      <c r="E26" s="235">
        <f>D26/$D$12</f>
        <v>131465.86163120568</v>
      </c>
      <c r="F26" s="236"/>
      <c r="G26" s="234">
        <f>SUM(G20:G25)</f>
        <v>12345356.944846638</v>
      </c>
      <c r="H26" s="235">
        <f>G26/$G$12</f>
        <v>121032.91122398664</v>
      </c>
      <c r="I26" s="236"/>
      <c r="J26" s="234">
        <f>SUM(J20:J25)</f>
        <v>35068247.259377517</v>
      </c>
      <c r="K26" s="235">
        <f>J26/$J$12</f>
        <v>141404.22282007063</v>
      </c>
      <c r="L26" s="236"/>
      <c r="M26" s="234">
        <f>SUM(M20:M25)</f>
        <v>48371521.510842882</v>
      </c>
      <c r="N26" s="235">
        <f t="shared" si="1"/>
        <v>120928.80377710721</v>
      </c>
      <c r="O26" s="236"/>
      <c r="P26" s="234">
        <f>SUM(P20:P25)</f>
        <v>16801519.650000002</v>
      </c>
      <c r="Q26" s="235">
        <f>P26/$P$12</f>
        <v>121750.14239130437</v>
      </c>
      <c r="R26" s="237"/>
      <c r="S26" s="234">
        <f>SUM(S20:S25)</f>
        <v>8096219.21</v>
      </c>
      <c r="T26" s="235">
        <f>S26/$P$12</f>
        <v>58668.255144927534</v>
      </c>
      <c r="U26" s="237"/>
    </row>
    <row r="27" spans="2:24" ht="4.2" customHeight="1" x14ac:dyDescent="0.3">
      <c r="B27" s="220"/>
      <c r="C27" s="238"/>
      <c r="D27" s="239"/>
      <c r="E27" s="239"/>
      <c r="F27" s="238"/>
      <c r="G27" s="239"/>
      <c r="H27" s="239"/>
      <c r="I27" s="238"/>
      <c r="J27" s="239"/>
      <c r="K27" s="239"/>
      <c r="L27" s="238"/>
      <c r="M27" s="239"/>
      <c r="N27" s="239"/>
      <c r="O27" s="238"/>
      <c r="P27" s="239"/>
      <c r="Q27" s="239"/>
      <c r="R27" s="240"/>
      <c r="S27" s="241"/>
      <c r="T27" s="241"/>
      <c r="U27" s="238"/>
    </row>
    <row r="28" spans="2:24" x14ac:dyDescent="0.3">
      <c r="B28" s="242"/>
      <c r="C28" s="243" t="s">
        <v>170</v>
      </c>
      <c r="D28" s="244"/>
      <c r="E28" s="244"/>
      <c r="F28" s="244"/>
      <c r="G28" s="244"/>
      <c r="H28" s="244"/>
      <c r="I28" s="244"/>
      <c r="J28" s="244"/>
      <c r="K28" s="244"/>
      <c r="L28" s="244"/>
      <c r="M28" s="244"/>
      <c r="N28" s="244" t="s">
        <v>171</v>
      </c>
      <c r="O28" s="244"/>
      <c r="P28" s="244"/>
      <c r="Q28" s="244"/>
      <c r="R28" s="245"/>
      <c r="S28" s="245"/>
      <c r="T28" s="245"/>
      <c r="U28" s="244"/>
    </row>
    <row r="29" spans="2:24" x14ac:dyDescent="0.3">
      <c r="C29" s="246" t="s">
        <v>172</v>
      </c>
      <c r="D29" s="244"/>
      <c r="E29" s="244"/>
      <c r="F29" s="244"/>
      <c r="G29" s="244"/>
      <c r="H29" s="244"/>
      <c r="I29" s="244"/>
      <c r="J29" s="244"/>
      <c r="K29" s="244"/>
      <c r="L29" s="244"/>
      <c r="M29" s="244"/>
      <c r="N29" s="244"/>
      <c r="O29" s="244"/>
      <c r="P29" s="244"/>
      <c r="Q29" s="244"/>
      <c r="R29" s="244"/>
      <c r="S29" s="244"/>
      <c r="T29" s="244"/>
      <c r="U29" s="244"/>
    </row>
    <row r="30" spans="2:24" ht="14.4" customHeight="1" x14ac:dyDescent="0.3">
      <c r="C30" s="154" t="s">
        <v>173</v>
      </c>
    </row>
    <row r="31" spans="2:24" x14ac:dyDescent="0.3">
      <c r="J31" s="247"/>
    </row>
    <row r="32" spans="2:24" x14ac:dyDescent="0.3">
      <c r="I32" s="248"/>
      <c r="J32" s="229"/>
      <c r="K32" s="229"/>
      <c r="M32" s="229"/>
      <c r="N32" s="229"/>
    </row>
    <row r="33" spans="8:10" x14ac:dyDescent="0.3">
      <c r="H33" s="248"/>
      <c r="J33" s="229"/>
    </row>
  </sheetData>
  <mergeCells count="1">
    <mergeCell ref="B2:U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87518-D8DA-463B-9191-F63AA1ADA84B}">
  <sheetPr codeName="Sheet35">
    <tabColor rgb="FF980000"/>
  </sheetPr>
  <dimension ref="B2:H16"/>
  <sheetViews>
    <sheetView showGridLines="0" zoomScaleNormal="100" workbookViewId="0">
      <selection sqref="A1:XFD1048576"/>
    </sheetView>
  </sheetViews>
  <sheetFormatPr defaultColWidth="8.88671875" defaultRowHeight="14.4" x14ac:dyDescent="0.3"/>
  <cols>
    <col min="1" max="1" width="3.109375" style="249" customWidth="1"/>
    <col min="2" max="2" width="21.88671875" style="249" customWidth="1"/>
    <col min="3" max="5" width="10.77734375" style="249" customWidth="1"/>
    <col min="6" max="8" width="7.77734375" style="249" customWidth="1"/>
    <col min="9" max="9" width="2" style="249" customWidth="1"/>
    <col min="10" max="16384" width="8.88671875" style="249"/>
  </cols>
  <sheetData>
    <row r="2" spans="2:8" ht="18" customHeight="1" x14ac:dyDescent="0.3">
      <c r="B2" s="155" t="s">
        <v>174</v>
      </c>
      <c r="C2" s="156"/>
      <c r="D2" s="156"/>
      <c r="E2" s="156"/>
      <c r="F2" s="156"/>
      <c r="G2" s="156"/>
      <c r="H2" s="157"/>
    </row>
    <row r="3" spans="2:8" x14ac:dyDescent="0.3">
      <c r="B3" s="250"/>
      <c r="C3" s="251" t="s">
        <v>163</v>
      </c>
      <c r="D3" s="252"/>
      <c r="E3" s="253"/>
      <c r="F3" s="251" t="s">
        <v>175</v>
      </c>
      <c r="G3" s="252"/>
      <c r="H3" s="253"/>
    </row>
    <row r="4" spans="2:8" x14ac:dyDescent="0.3">
      <c r="B4" s="254"/>
      <c r="C4" s="255" t="s">
        <v>176</v>
      </c>
      <c r="D4" s="255" t="s">
        <v>177</v>
      </c>
      <c r="E4" s="255" t="s">
        <v>45</v>
      </c>
      <c r="F4" s="255" t="s">
        <v>176</v>
      </c>
      <c r="G4" s="255" t="s">
        <v>177</v>
      </c>
      <c r="H4" s="255" t="s">
        <v>45</v>
      </c>
    </row>
    <row r="5" spans="2:8" x14ac:dyDescent="0.3">
      <c r="B5" s="256" t="s">
        <v>164</v>
      </c>
      <c r="C5" s="257">
        <f>MIN('Construction Comps'!E17,'Construction Comps'!H17,'Construction Comps'!K17,'Construction Comps'!N17,'Construction Comps'!Q17,'Construction Comps'!T17)</f>
        <v>35229.338859060401</v>
      </c>
      <c r="D5" s="257">
        <f>MAX(('Construction Comps'!E17,'Construction Comps'!H17,'Construction Comps'!K17,'Construction Comps'!N17,'Construction Comps'!Q17,'Construction Comps'!T17, 'Construction Comps'!T17))</f>
        <v>43238.212617771336</v>
      </c>
      <c r="E5" s="257">
        <f>AVERAGE('Construction Comps'!E17,'Construction Comps'!H17,'Construction Comps'!K17,'Construction Comps'!N17,'Construction Comps'!Q17,'Construction Comps'!T17, 'Construction Comps'!T17)</f>
        <v>38491.955243617267</v>
      </c>
      <c r="F5" s="258"/>
      <c r="G5" s="258"/>
      <c r="H5" s="258"/>
    </row>
    <row r="6" spans="2:8" x14ac:dyDescent="0.3">
      <c r="B6" s="259" t="s">
        <v>165</v>
      </c>
      <c r="C6" s="260">
        <f>MIN('Construction Comps'!E18,'Construction Comps'!H18,'Construction Comps'!K18,'Construction Comps'!N18,'Construction Comps'!Q18,'Construction Comps'!T18)</f>
        <v>2419.4630872483222</v>
      </c>
      <c r="D6" s="260">
        <f>MAX(('Construction Comps'!E18,'Construction Comps'!H18,'Construction Comps'!K18,'Construction Comps'!N18,'Construction Comps'!Q18,'Construction Comps'!T18, 'Construction Comps'!T18))</f>
        <v>24118.429385393712</v>
      </c>
      <c r="E6" s="260">
        <f>AVERAGE('Construction Comps'!E18,'Construction Comps'!H18,'Construction Comps'!K18,'Construction Comps'!N18,'Construction Comps'!Q18,'Construction Comps'!T18,'Construction Comps'!T18)</f>
        <v>8956.4660773286196</v>
      </c>
      <c r="F6" s="261"/>
      <c r="G6" s="261"/>
      <c r="H6" s="261"/>
    </row>
    <row r="7" spans="2:8" x14ac:dyDescent="0.3">
      <c r="B7" s="262" t="s">
        <v>166</v>
      </c>
      <c r="C7" s="263">
        <f>MIN('Construction Comps'!E19,'Construction Comps'!H19,'Construction Comps'!K19,'Construction Comps'!N19,'Construction Comps'!Q19)</f>
        <v>0</v>
      </c>
      <c r="D7" s="263">
        <f>MAX(('Construction Comps'!E19,'Construction Comps'!H19,'Construction Comps'!K19,'Construction Comps'!N19,'Construction Comps'!Q19, 'Construction Comps'!T20))</f>
        <v>91813.391113407386</v>
      </c>
      <c r="E7" s="263">
        <f>AVERAGE('Construction Comps'!K19,'Construction Comps'!N19,'Construction Comps'!Q19)</f>
        <v>86553.248914201744</v>
      </c>
      <c r="F7" s="264"/>
      <c r="G7" s="264"/>
      <c r="H7" s="264"/>
    </row>
    <row r="8" spans="2:8" x14ac:dyDescent="0.3">
      <c r="B8" s="265" t="s">
        <v>178</v>
      </c>
      <c r="C8" s="266">
        <f>MIN('Construction Comps'!E20,'Construction Comps'!H20,'Construction Comps'!K20,'Construction Comps'!N20,'Construction Comps'!Q20, 'Construction Comps'!T20)</f>
        <v>37648.801946308726</v>
      </c>
      <c r="D8" s="266">
        <f>MAX(('Construction Comps'!E20,'Construction Comps'!H20,'Construction Comps'!K20,'Construction Comps'!N20,'Construction Comps'!Q20, 'Construction Comps'!T20))</f>
        <v>121079.08595744682</v>
      </c>
      <c r="E8" s="266">
        <f>AVERAGE('Construction Comps'!E20,'Construction Comps'!H20,'Construction Comps'!K20,'Construction Comps'!N20,'Construction Comps'!Q20, 'Construction Comps'!T20)</f>
        <v>77714.98312878533</v>
      </c>
      <c r="F8" s="267">
        <f>MIN('Construction Comps'!F20,'Construction Comps'!I20,'Construction Comps'!L20,'Construction Comps'!O20,'Construction Comps'!R20, 'Construction Comps'!U20)</f>
        <v>0.53219276647302383</v>
      </c>
      <c r="G8" s="267">
        <f>MAX('Construction Comps'!F20,'Construction Comps'!I20,'Construction Comps'!L20,'Construction Comps'!O20,'Construction Comps'!R20, 'Construction Comps'!U20)</f>
        <v>0.92099260184445186</v>
      </c>
      <c r="H8" s="267">
        <f>AVERAGE('Construction Comps'!F20,'Construction Comps'!I20,'Construction Comps'!L20,'Construction Comps'!O20,'Construction Comps'!R20,'Construction Comps'!U20)</f>
        <v>0.67614122725388626</v>
      </c>
    </row>
    <row r="9" spans="2:8" x14ac:dyDescent="0.3">
      <c r="B9" s="268" t="s">
        <v>167</v>
      </c>
      <c r="C9" s="260">
        <f>MIN('Construction Comps'!E21,'Construction Comps'!H21,'Construction Comps'!K21,'Construction Comps'!N21,'Construction Comps'!Q21,'Construction Comps'!T21)</f>
        <v>4728.9794582421318</v>
      </c>
      <c r="D9" s="260">
        <f>MAX(('Construction Comps'!E21,'Construction Comps'!H21,'Construction Comps'!K21,'Construction Comps'!N21,'Construction Comps'!Q21, 'Construction Comps'!T21))</f>
        <v>10386.775673758866</v>
      </c>
      <c r="E9" s="260">
        <f>AVERAGE('Construction Comps'!E21,'Construction Comps'!H21,'Construction Comps'!K21,'Construction Comps'!N21,'Construction Comps'!Q21,'Construction Comps'!T21)</f>
        <v>7992.1385047843241</v>
      </c>
      <c r="F9" s="269">
        <f>MIN('Construction Comps'!F21,'Construction Comps'!I21,'Construction Comps'!L21,'Construction Comps'!O21,'Construction Comps'!R21, 'Construction Comps'!U21)</f>
        <v>3.9071847569547097E-2</v>
      </c>
      <c r="G9" s="269">
        <f>MAX('Construction Comps'!F21,'Construction Comps'!I21,'Construction Comps'!L21,'Construction Comps'!O21,'Construction Comps'!R21, 'Construction Comps'!U21)</f>
        <v>0.16784652499546143</v>
      </c>
      <c r="H9" s="269">
        <f>AVERAGE('Construction Comps'!F21,'Construction Comps'!I21,'Construction Comps'!L21,'Construction Comps'!O21,'Construction Comps'!R21,'Construction Comps'!U21)</f>
        <v>7.8311165435270655E-2</v>
      </c>
    </row>
    <row r="10" spans="2:8" x14ac:dyDescent="0.3">
      <c r="B10" s="268" t="s">
        <v>168</v>
      </c>
      <c r="C10" s="260">
        <f>MIN('Construction Comps'!E22,'Construction Comps'!H22,'Construction Comps'!K22,'Construction Comps'!N22,'Construction Comps'!Q22,'Construction Comps'!T22)</f>
        <v>279.76736500350592</v>
      </c>
      <c r="D10" s="260">
        <f>MAX(('Construction Comps'!E22,'Construction Comps'!H22,'Construction Comps'!K22,'Construction Comps'!N22,'Construction Comps'!Q22, 'Construction Comps'!T22))</f>
        <v>6757.3185778042725</v>
      </c>
      <c r="E10" s="260">
        <f>AVERAGE('Construction Comps'!E22,'Construction Comps'!H22,'Construction Comps'!K22,'Construction Comps'!N22,'Construction Comps'!Q22,'Construction Comps'!T22)</f>
        <v>3649.0578016119998</v>
      </c>
      <c r="F10" s="269">
        <f>MIN('Construction Comps'!F22,'Construction Comps'!I22,'Construction Comps'!L22,'Construction Comps'!O22,'Construction Comps'!R22, 'Construction Comps'!U22)</f>
        <v>1.9784937070761672E-3</v>
      </c>
      <c r="G10" s="269">
        <f>MAX('Construction Comps'!F22,'Construction Comps'!I22,'Construction Comps'!L22,'Construction Comps'!O22,'Construction Comps'!R22, 'Construction Comps'!U22)</f>
        <v>8.4255433592688014E-2</v>
      </c>
      <c r="H10" s="269">
        <f>AVERAGE('Construction Comps'!F22,'Construction Comps'!I22,'Construction Comps'!L22,'Construction Comps'!O22,'Construction Comps'!R22,'Construction Comps'!U22)</f>
        <v>4.1678709942636533E-2</v>
      </c>
    </row>
    <row r="11" spans="2:8" x14ac:dyDescent="0.3">
      <c r="B11" s="268" t="s">
        <v>137</v>
      </c>
      <c r="C11" s="270">
        <f>MIN('Construction Comps'!E23,'Construction Comps'!H23,'Construction Comps'!K23,'Construction Comps'!N23,'Construction Comps'!Q23)</f>
        <v>20791.832637164873</v>
      </c>
      <c r="D11" s="260">
        <f>MAX(('Construction Comps'!E23,'Construction Comps'!H23,'Construction Comps'!K23,'Construction Comps'!N23,'Construction Comps'!Q23))</f>
        <v>20791.832637164873</v>
      </c>
      <c r="E11" s="260">
        <f>AVERAGE('Construction Comps'!E23,'Construction Comps'!H23,'Construction Comps'!K23,'Construction Comps'!N23,'Construction Comps'!Q23)</f>
        <v>20791.832637164873</v>
      </c>
      <c r="F11" s="271">
        <f>MIN('Construction Comps'!F23,'Construction Comps'!I23,'Construction Comps'!L23,'Construction Comps'!O23,'Construction Comps'!R23)</f>
        <v>0.1717866027256584</v>
      </c>
      <c r="G11" s="269">
        <f>MAX('Construction Comps'!F23,'Construction Comps'!I23,'Construction Comps'!L23,'Construction Comps'!O23,'Construction Comps'!R23)</f>
        <v>0.1717866027256584</v>
      </c>
      <c r="H11" s="269">
        <f>AVERAGE('Construction Comps'!F23,'Construction Comps'!I23,'Construction Comps'!L23,'Construction Comps'!O23,'Construction Comps'!R23)</f>
        <v>0.1717866027256584</v>
      </c>
    </row>
    <row r="12" spans="2:8" x14ac:dyDescent="0.3">
      <c r="B12" s="268" t="s">
        <v>169</v>
      </c>
      <c r="C12" s="260">
        <f>MIN('Construction Comps'!E24,'Construction Comps'!H24,'Construction Comps'!K24,'Construction Comps'!N24,'Construction Comps'!Q24)</f>
        <v>3825.0114547782036</v>
      </c>
      <c r="D12" s="260">
        <f>MAX(('Construction Comps'!E24,'Construction Comps'!H24,'Construction Comps'!K24,'Construction Comps'!N24,'Construction Comps'!Q24))</f>
        <v>5439.4449275362322</v>
      </c>
      <c r="E12" s="260">
        <f>AVERAGE('Construction Comps'!E24,'Construction Comps'!H24,'Construction Comps'!K24,'Construction Comps'!N24,'Construction Comps'!Q24)</f>
        <v>4578.6292559025505</v>
      </c>
      <c r="F12" s="269">
        <f>MIN('Construction Comps'!F24,'Construction Comps'!I24,'Construction Comps'!L24,'Construction Comps'!O24,'Construction Comps'!R24)</f>
        <v>2.7050192550793394E-2</v>
      </c>
      <c r="G12" s="269">
        <f>MAX('Construction Comps'!F24,'Construction Comps'!I24,'Construction Comps'!L24,'Construction Comps'!O24,'Construction Comps'!R24)</f>
        <v>4.4677113477649022E-2</v>
      </c>
      <c r="H12" s="269">
        <f>AVERAGE('Construction Comps'!F24,'Construction Comps'!I24,'Construction Comps'!L24,'Construction Comps'!O24,'Construction Comps'!R24)</f>
        <v>3.6234346962797419E-2</v>
      </c>
    </row>
    <row r="13" spans="2:8" x14ac:dyDescent="0.3">
      <c r="B13" s="272" t="s">
        <v>143</v>
      </c>
      <c r="C13" s="263">
        <f>MIN('Construction Comps'!E25,'Construction Comps'!H25,'Construction Comps'!K25,'Construction Comps'!N25,'Construction Comps'!Q25,'Construction Comps'!T25)</f>
        <v>3228.0797101449275</v>
      </c>
      <c r="D13" s="263">
        <f>MAX(('Construction Comps'!E25,'Construction Comps'!H25,'Construction Comps'!K25,'Construction Comps'!N25,'Construction Comps'!Q25, 'Construction Comps'!T25))</f>
        <v>48079.907369819535</v>
      </c>
      <c r="E13" s="263">
        <f>AVERAGE('Construction Comps'!E25,'Construction Comps'!H25,'Construction Comps'!K25,'Construction Comps'!N25,'Construction Comps'!Q25,'Construction Comps'!T25)</f>
        <v>25558.123343652438</v>
      </c>
      <c r="F13" s="273">
        <f>MIN('Construction Comps'!F25,'Construction Comps'!I25,'Construction Comps'!L25,'Construction Comps'!O25,'Construction Comps'!R25, 'Construction Comps'!U25)</f>
        <v>5.5022596158188754E-2</v>
      </c>
      <c r="G13" s="273">
        <f>MAX('Construction Comps'!F25,'Construction Comps'!I25,'Construction Comps'!L25,'Construction Comps'!O25,'Construction Comps'!R25, 'Construction Comps'!U25)</f>
        <v>0.34001747904656754</v>
      </c>
      <c r="H13" s="273">
        <f>AVERAGE('Construction Comps'!F25,'Construction Comps'!I25,'Construction Comps'!L25,'Construction Comps'!O25,'Construction Comps'!R25,'Construction Comps'!U25)</f>
        <v>0.20521623209609227</v>
      </c>
    </row>
    <row r="14" spans="2:8" x14ac:dyDescent="0.3">
      <c r="B14" s="274" t="s">
        <v>179</v>
      </c>
      <c r="C14" s="275">
        <f>MIN('Construction Comps'!E26,'Construction Comps'!H26,'Construction Comps'!K26,'Construction Comps'!N26,'Construction Comps'!Q26,'Construction Comps'!T26)</f>
        <v>58668.255144927534</v>
      </c>
      <c r="D14" s="275">
        <f>MAX(('Construction Comps'!E26,'Construction Comps'!H26,'Construction Comps'!K26,'Construction Comps'!N26,'Construction Comps'!Q26, 'Construction Comps'!T26))</f>
        <v>141404.22282007063</v>
      </c>
      <c r="E14" s="275">
        <f>AVERAGE('Construction Comps'!E26,'Construction Comps'!H26,'Construction Comps'!K26,'Construction Comps'!N26,'Construction Comps'!Q26,'Construction Comps'!T26)</f>
        <v>115875.03283143368</v>
      </c>
      <c r="F14" s="264"/>
      <c r="G14" s="264"/>
      <c r="H14" s="264"/>
    </row>
    <row r="15" spans="2:8" ht="3.6" customHeight="1" x14ac:dyDescent="0.3">
      <c r="B15" s="276"/>
      <c r="C15" s="277"/>
      <c r="D15" s="277"/>
      <c r="E15" s="277"/>
      <c r="F15" s="278"/>
      <c r="G15" s="278"/>
      <c r="H15" s="278"/>
    </row>
    <row r="16" spans="2:8" ht="29.4" customHeight="1" x14ac:dyDescent="0.3">
      <c r="B16" s="279" t="s">
        <v>173</v>
      </c>
      <c r="C16" s="280"/>
      <c r="D16" s="280"/>
      <c r="E16" s="280"/>
      <c r="F16" s="280"/>
      <c r="G16" s="280"/>
      <c r="H16" s="280"/>
    </row>
  </sheetData>
  <mergeCells count="4">
    <mergeCell ref="B2:H2"/>
    <mergeCell ref="C3:E3"/>
    <mergeCell ref="F3:H3"/>
    <mergeCell ref="B16:H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DEVELOPMENT COSTS</vt:lpstr>
      <vt:lpstr>Site Dev Cost</vt:lpstr>
      <vt:lpstr>Add. Bldg Improv.</vt:lpstr>
      <vt:lpstr>Total Proj. Cost</vt:lpstr>
      <vt:lpstr>Construction Comps</vt:lpstr>
      <vt:lpstr>Construction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 Garwood</dc:creator>
  <cp:lastModifiedBy>Kristin Garwood</cp:lastModifiedBy>
  <dcterms:created xsi:type="dcterms:W3CDTF">2026-03-17T17:46:19Z</dcterms:created>
  <dcterms:modified xsi:type="dcterms:W3CDTF">2026-03-17T17:48:15Z</dcterms:modified>
</cp:coreProperties>
</file>